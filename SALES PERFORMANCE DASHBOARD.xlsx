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hp\OneDrive\Desktop\GREAT SUCCESS !!!\"/>
    </mc:Choice>
  </mc:AlternateContent>
  <xr:revisionPtr revIDLastSave="0" documentId="13_ncr:1_{D9CB1F4B-4282-4FC1-97E1-6777E60640E6}" xr6:coauthVersionLast="47" xr6:coauthVersionMax="47" xr10:uidLastSave="{00000000-0000-0000-0000-000000000000}"/>
  <bookViews>
    <workbookView xWindow="-120" yWindow="-120" windowWidth="20730" windowHeight="11040" activeTab="2" xr2:uid="{00000000-000D-0000-FFFF-FFFF00000000}"/>
  </bookViews>
  <sheets>
    <sheet name="Sheet1" sheetId="1" r:id="rId1"/>
    <sheet name="pivot table" sheetId="2" r:id="rId2"/>
    <sheet name="dashboard" sheetId="3" r:id="rId3"/>
  </sheets>
  <definedNames>
    <definedName name="Slicer_Category">#N/A</definedName>
    <definedName name="Slicer_mnth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2" l="1"/>
  <c r="Q17" i="2"/>
  <c r="R17" i="2"/>
  <c r="Q18" i="2"/>
  <c r="R18" i="2"/>
  <c r="Q19" i="2"/>
  <c r="R19" i="2"/>
  <c r="Q20" i="2"/>
  <c r="R20" i="2"/>
  <c r="Q21" i="2"/>
  <c r="R21" i="2"/>
  <c r="Q22" i="2"/>
  <c r="R22" i="2"/>
  <c r="Q23" i="2"/>
  <c r="R23" i="2"/>
  <c r="R16" i="2"/>
  <c r="Q16" i="2"/>
  <c r="H6" i="2"/>
  <c r="I6" i="2"/>
  <c r="H7" i="2"/>
  <c r="I7" i="2"/>
  <c r="H8" i="2"/>
  <c r="I8" i="2"/>
  <c r="H9" i="2"/>
  <c r="I9" i="2"/>
  <c r="H10" i="2"/>
  <c r="I10" i="2"/>
  <c r="H11" i="2"/>
  <c r="I11" i="2"/>
  <c r="H12" i="2"/>
  <c r="H13" i="2"/>
  <c r="I13" i="2"/>
  <c r="H14" i="2"/>
  <c r="I14" i="2"/>
  <c r="H15" i="2"/>
  <c r="I15" i="2"/>
  <c r="H16" i="2"/>
  <c r="I16" i="2"/>
  <c r="I5" i="2"/>
  <c r="H5" i="2"/>
</calcChain>
</file>

<file path=xl/sharedStrings.xml><?xml version="1.0" encoding="utf-8"?>
<sst xmlns="http://schemas.openxmlformats.org/spreadsheetml/2006/main" count="4574" uniqueCount="348">
  <si>
    <t>Date</t>
  </si>
  <si>
    <t>Region</t>
  </si>
  <si>
    <t>Salesperson</t>
  </si>
  <si>
    <t>Product</t>
  </si>
  <si>
    <t>Category</t>
  </si>
  <si>
    <t>Units Sold</t>
  </si>
  <si>
    <t>Unit Price</t>
  </si>
  <si>
    <t>Total Sales</t>
  </si>
  <si>
    <t>Payment Method</t>
  </si>
  <si>
    <t>Customer Type</t>
  </si>
  <si>
    <t>2024-11-23</t>
  </si>
  <si>
    <t>2024-12-12</t>
  </si>
  <si>
    <t>2024-09-15</t>
  </si>
  <si>
    <t>2024-03-22</t>
  </si>
  <si>
    <t>2024-02-17</t>
  </si>
  <si>
    <t>2024-08-23</t>
  </si>
  <si>
    <t>2024-12-26</t>
  </si>
  <si>
    <t>2024-07-13</t>
  </si>
  <si>
    <t>2024-12-09</t>
  </si>
  <si>
    <t>2024-07-24</t>
  </si>
  <si>
    <t>2024-07-21</t>
  </si>
  <si>
    <t>2024-10-25</t>
  </si>
  <si>
    <t>2024-01-25</t>
  </si>
  <si>
    <t>2024-07-14</t>
  </si>
  <si>
    <t>2024-02-27</t>
  </si>
  <si>
    <t>2024-09-16</t>
  </si>
  <si>
    <t>2024-11-02</t>
  </si>
  <si>
    <t>2024-01-30</t>
  </si>
  <si>
    <t>2024-12-03</t>
  </si>
  <si>
    <t>2024-10-03</t>
  </si>
  <si>
    <t>2024-05-06</t>
  </si>
  <si>
    <t>2024-01-04</t>
  </si>
  <si>
    <t>2024-09-20</t>
  </si>
  <si>
    <t>2024-05-04</t>
  </si>
  <si>
    <t>2024-08-04</t>
  </si>
  <si>
    <t>2024-02-25</t>
  </si>
  <si>
    <t>2024-04-03</t>
  </si>
  <si>
    <t>2024-11-29</t>
  </si>
  <si>
    <t>2024-04-19</t>
  </si>
  <si>
    <t>2024-08-20</t>
  </si>
  <si>
    <t>2024-03-02</t>
  </si>
  <si>
    <t>2024-04-14</t>
  </si>
  <si>
    <t>2024-06-10</t>
  </si>
  <si>
    <t>2024-10-02</t>
  </si>
  <si>
    <t>2024-05-25</t>
  </si>
  <si>
    <t>2024-12-05</t>
  </si>
  <si>
    <t>2024-05-24</t>
  </si>
  <si>
    <t>2024-01-27</t>
  </si>
  <si>
    <t>2024-11-22</t>
  </si>
  <si>
    <t>2024-03-06</t>
  </si>
  <si>
    <t>2024-12-07</t>
  </si>
  <si>
    <t>2024-03-31</t>
  </si>
  <si>
    <t>2024-06-28</t>
  </si>
  <si>
    <t>2024-06-17</t>
  </si>
  <si>
    <t>2024-01-15</t>
  </si>
  <si>
    <t>2024-11-01</t>
  </si>
  <si>
    <t>2024-10-22</t>
  </si>
  <si>
    <t>2024-08-08</t>
  </si>
  <si>
    <t>2024-06-16</t>
  </si>
  <si>
    <t>2024-11-11</t>
  </si>
  <si>
    <t>2024-10-23</t>
  </si>
  <si>
    <t>2024-03-27</t>
  </si>
  <si>
    <t>2024-04-11</t>
  </si>
  <si>
    <t>2024-07-31</t>
  </si>
  <si>
    <t>2024-02-24</t>
  </si>
  <si>
    <t>2024-03-03</t>
  </si>
  <si>
    <t>2024-11-09</t>
  </si>
  <si>
    <t>2024-04-30</t>
  </si>
  <si>
    <t>2024-04-28</t>
  </si>
  <si>
    <t>2024-10-04</t>
  </si>
  <si>
    <t>2024-10-21</t>
  </si>
  <si>
    <t>2024-07-18</t>
  </si>
  <si>
    <t>2024-10-30</t>
  </si>
  <si>
    <t>2024-05-13</t>
  </si>
  <si>
    <t>2024-05-22</t>
  </si>
  <si>
    <t>2024-04-24</t>
  </si>
  <si>
    <t>2024-05-02</t>
  </si>
  <si>
    <t>2024-07-07</t>
  </si>
  <si>
    <t>2024-12-22</t>
  </si>
  <si>
    <t>2024-02-05</t>
  </si>
  <si>
    <t>2024-11-21</t>
  </si>
  <si>
    <t>2024-08-26</t>
  </si>
  <si>
    <t>2024-09-06</t>
  </si>
  <si>
    <t>2024-09-21</t>
  </si>
  <si>
    <t>2024-11-26</t>
  </si>
  <si>
    <t>2024-12-20</t>
  </si>
  <si>
    <t>2024-10-08</t>
  </si>
  <si>
    <t>2024-04-20</t>
  </si>
  <si>
    <t>2024-07-03</t>
  </si>
  <si>
    <t>2024-01-28</t>
  </si>
  <si>
    <t>2024-09-02</t>
  </si>
  <si>
    <t>2024-02-03</t>
  </si>
  <si>
    <t>2024-03-17</t>
  </si>
  <si>
    <t>2024-09-24</t>
  </si>
  <si>
    <t>2024-10-18</t>
  </si>
  <si>
    <t>2024-05-29</t>
  </si>
  <si>
    <t>2024-12-17</t>
  </si>
  <si>
    <t>2024-05-16</t>
  </si>
  <si>
    <t>2024-03-04</t>
  </si>
  <si>
    <t>2024-02-11</t>
  </si>
  <si>
    <t>2024-04-27</t>
  </si>
  <si>
    <t>2024-04-02</t>
  </si>
  <si>
    <t>2024-06-13</t>
  </si>
  <si>
    <t>2024-02-29</t>
  </si>
  <si>
    <t>2024-11-14</t>
  </si>
  <si>
    <t>2024-08-12</t>
  </si>
  <si>
    <t>2024-10-09</t>
  </si>
  <si>
    <t>2024-11-27</t>
  </si>
  <si>
    <t>2024-09-04</t>
  </si>
  <si>
    <t>2024-06-19</t>
  </si>
  <si>
    <t>2024-04-29</t>
  </si>
  <si>
    <t>2024-08-13</t>
  </si>
  <si>
    <t>2024-08-28</t>
  </si>
  <si>
    <t>2024-11-16</t>
  </si>
  <si>
    <t>2024-02-16</t>
  </si>
  <si>
    <t>2024-01-24</t>
  </si>
  <si>
    <t>2024-05-05</t>
  </si>
  <si>
    <t>2024-09-11</t>
  </si>
  <si>
    <t>2024-12-19</t>
  </si>
  <si>
    <t>2024-05-01</t>
  </si>
  <si>
    <t>2024-01-05</t>
  </si>
  <si>
    <t>2024-03-30</t>
  </si>
  <si>
    <t>2024-05-11</t>
  </si>
  <si>
    <t>2024-04-25</t>
  </si>
  <si>
    <t>2024-01-13</t>
  </si>
  <si>
    <t>2024-08-15</t>
  </si>
  <si>
    <t>2024-02-01</t>
  </si>
  <si>
    <t>2024-11-24</t>
  </si>
  <si>
    <t>2024-10-10</t>
  </si>
  <si>
    <t>2024-03-15</t>
  </si>
  <si>
    <t>2024-01-08</t>
  </si>
  <si>
    <t>2024-03-05</t>
  </si>
  <si>
    <t>2024-08-19</t>
  </si>
  <si>
    <t>2024-02-18</t>
  </si>
  <si>
    <t>2024-02-04</t>
  </si>
  <si>
    <t>2024-10-11</t>
  </si>
  <si>
    <t>2024-05-27</t>
  </si>
  <si>
    <t>2024-12-02</t>
  </si>
  <si>
    <t>2024-10-16</t>
  </si>
  <si>
    <t>2024-08-02</t>
  </si>
  <si>
    <t>2024-09-05</t>
  </si>
  <si>
    <t>2024-04-22</t>
  </si>
  <si>
    <t>2024-05-10</t>
  </si>
  <si>
    <t>2024-03-07</t>
  </si>
  <si>
    <t>2024-01-10</t>
  </si>
  <si>
    <t>2024-05-28</t>
  </si>
  <si>
    <t>2024-02-15</t>
  </si>
  <si>
    <t>2024-09-28</t>
  </si>
  <si>
    <t>2024-10-15</t>
  </si>
  <si>
    <t>2024-08-14</t>
  </si>
  <si>
    <t>2024-08-24</t>
  </si>
  <si>
    <t>2024-11-10</t>
  </si>
  <si>
    <t>2024-11-05</t>
  </si>
  <si>
    <t>2024-07-09</t>
  </si>
  <si>
    <t>2024-10-13</t>
  </si>
  <si>
    <t>2024-11-12</t>
  </si>
  <si>
    <t>2024-01-23</t>
  </si>
  <si>
    <t>2024-03-23</t>
  </si>
  <si>
    <t>2024-06-27</t>
  </si>
  <si>
    <t>2024-07-16</t>
  </si>
  <si>
    <t>2024-08-17</t>
  </si>
  <si>
    <t>2024-02-26</t>
  </si>
  <si>
    <t>2024-03-14</t>
  </si>
  <si>
    <t>2024-04-05</t>
  </si>
  <si>
    <t>2024-06-25</t>
  </si>
  <si>
    <t>2024-11-25</t>
  </si>
  <si>
    <t>2024-01-19</t>
  </si>
  <si>
    <t>2024-07-01</t>
  </si>
  <si>
    <t>2024-09-22</t>
  </si>
  <si>
    <t>2024-03-26</t>
  </si>
  <si>
    <t>2024-07-15</t>
  </si>
  <si>
    <t>2024-10-20</t>
  </si>
  <si>
    <t>2024-02-28</t>
  </si>
  <si>
    <t>2024-02-07</t>
  </si>
  <si>
    <t>2024-12-29</t>
  </si>
  <si>
    <t>2024-09-17</t>
  </si>
  <si>
    <t>2024-07-22</t>
  </si>
  <si>
    <t>2024-04-10</t>
  </si>
  <si>
    <t>2024-11-17</t>
  </si>
  <si>
    <t>2024-07-08</t>
  </si>
  <si>
    <t>2024-06-06</t>
  </si>
  <si>
    <t>2024-10-01</t>
  </si>
  <si>
    <t>2024-07-06</t>
  </si>
  <si>
    <t>2024-07-20</t>
  </si>
  <si>
    <t>2024-05-15</t>
  </si>
  <si>
    <t>2024-12-14</t>
  </si>
  <si>
    <t>2024-12-27</t>
  </si>
  <si>
    <t>2024-03-29</t>
  </si>
  <si>
    <t>2024-06-11</t>
  </si>
  <si>
    <t>2024-12-01</t>
  </si>
  <si>
    <t>2024-03-11</t>
  </si>
  <si>
    <t>2024-08-01</t>
  </si>
  <si>
    <t>2024-11-08</t>
  </si>
  <si>
    <t>2024-03-12</t>
  </si>
  <si>
    <t>2024-08-16</t>
  </si>
  <si>
    <t>2024-11-30</t>
  </si>
  <si>
    <t>2024-07-26</t>
  </si>
  <si>
    <t>2024-03-09</t>
  </si>
  <si>
    <t>2024-01-29</t>
  </si>
  <si>
    <t>2024-12-10</t>
  </si>
  <si>
    <t>2024-01-17</t>
  </si>
  <si>
    <t>2024-03-01</t>
  </si>
  <si>
    <t>2024-08-25</t>
  </si>
  <si>
    <t>2024-05-21</t>
  </si>
  <si>
    <t>2024-04-15</t>
  </si>
  <si>
    <t>2024-09-14</t>
  </si>
  <si>
    <t>2024-06-03</t>
  </si>
  <si>
    <t>2024-05-03</t>
  </si>
  <si>
    <t>2024-10-12</t>
  </si>
  <si>
    <t>2024-08-18</t>
  </si>
  <si>
    <t>2024-04-18</t>
  </si>
  <si>
    <t>2024-09-25</t>
  </si>
  <si>
    <t>2024-01-09</t>
  </si>
  <si>
    <t>2024-06-02</t>
  </si>
  <si>
    <t>2024-09-27</t>
  </si>
  <si>
    <t>2024-02-08</t>
  </si>
  <si>
    <t>2024-12-30</t>
  </si>
  <si>
    <t>2024-02-20</t>
  </si>
  <si>
    <t>2024-01-16</t>
  </si>
  <si>
    <t>2024-03-19</t>
  </si>
  <si>
    <t>2024-01-03</t>
  </si>
  <si>
    <t>2024-02-13</t>
  </si>
  <si>
    <t>2024-05-17</t>
  </si>
  <si>
    <t>2024-08-22</t>
  </si>
  <si>
    <t>2024-11-04</t>
  </si>
  <si>
    <t>2024-12-21</t>
  </si>
  <si>
    <t>2024-05-09</t>
  </si>
  <si>
    <t>2024-09-30</t>
  </si>
  <si>
    <t>2024-05-07</t>
  </si>
  <si>
    <t>2024-07-10</t>
  </si>
  <si>
    <t>2024-05-31</t>
  </si>
  <si>
    <t>2024-08-21</t>
  </si>
  <si>
    <t>2024-06-12</t>
  </si>
  <si>
    <t>2024-06-09</t>
  </si>
  <si>
    <t>2024-09-18</t>
  </si>
  <si>
    <t>2024-10-14</t>
  </si>
  <si>
    <t>2024-02-12</t>
  </si>
  <si>
    <t>2024-04-17</t>
  </si>
  <si>
    <t>2024-01-31</t>
  </si>
  <si>
    <t>2024-12-25</t>
  </si>
  <si>
    <t>2024-03-13</t>
  </si>
  <si>
    <t>2024-06-24</t>
  </si>
  <si>
    <t>2024-01-01</t>
  </si>
  <si>
    <t>2024-02-06</t>
  </si>
  <si>
    <t>2024-02-14</t>
  </si>
  <si>
    <t>2024-09-10</t>
  </si>
  <si>
    <t>2024-08-29</t>
  </si>
  <si>
    <t>2024-03-21</t>
  </si>
  <si>
    <t>2024-01-07</t>
  </si>
  <si>
    <t>2024-02-09</t>
  </si>
  <si>
    <t>2024-10-29</t>
  </si>
  <si>
    <t>2024-02-23</t>
  </si>
  <si>
    <t>2024-03-20</t>
  </si>
  <si>
    <t>2024-01-12</t>
  </si>
  <si>
    <t>2024-01-22</t>
  </si>
  <si>
    <t>2024-05-23</t>
  </si>
  <si>
    <t>2024-09-12</t>
  </si>
  <si>
    <t>2024-02-21</t>
  </si>
  <si>
    <t>2024-06-30</t>
  </si>
  <si>
    <t>2024-09-08</t>
  </si>
  <si>
    <t>2024-09-26</t>
  </si>
  <si>
    <t>2024-01-11</t>
  </si>
  <si>
    <t>2024-04-07</t>
  </si>
  <si>
    <t>2024-05-30</t>
  </si>
  <si>
    <t>2024-03-18</t>
  </si>
  <si>
    <t>2024-07-17</t>
  </si>
  <si>
    <t>2024-12-31</t>
  </si>
  <si>
    <t>2024-04-08</t>
  </si>
  <si>
    <t>2024-01-20</t>
  </si>
  <si>
    <t>2024-06-21</t>
  </si>
  <si>
    <t>2024-08-30</t>
  </si>
  <si>
    <t>2024-03-08</t>
  </si>
  <si>
    <t>2024-06-01</t>
  </si>
  <si>
    <t>2024-12-04</t>
  </si>
  <si>
    <t>2024-05-12</t>
  </si>
  <si>
    <t>2024-08-03</t>
  </si>
  <si>
    <t>2024-07-28</t>
  </si>
  <si>
    <t>2024-11-19</t>
  </si>
  <si>
    <t>2024-07-25</t>
  </si>
  <si>
    <t>2024-07-02</t>
  </si>
  <si>
    <t>2024-12-18</t>
  </si>
  <si>
    <t>2024-05-19</t>
  </si>
  <si>
    <t>2024-07-29</t>
  </si>
  <si>
    <t>2024-06-26</t>
  </si>
  <si>
    <t>2024-01-26</t>
  </si>
  <si>
    <t>2024-01-02</t>
  </si>
  <si>
    <t>2024-04-06</t>
  </si>
  <si>
    <t>2024-12-11</t>
  </si>
  <si>
    <t>North</t>
  </si>
  <si>
    <t>West</t>
  </si>
  <si>
    <t>South</t>
  </si>
  <si>
    <t>East</t>
  </si>
  <si>
    <t>David Brown</t>
  </si>
  <si>
    <t>John Doe</t>
  </si>
  <si>
    <t>James Green</t>
  </si>
  <si>
    <t>Linda White</t>
  </si>
  <si>
    <t>Jane Smith</t>
  </si>
  <si>
    <t>Sarah Johnson</t>
  </si>
  <si>
    <t>Michael Lee</t>
  </si>
  <si>
    <t>Emily Clark</t>
  </si>
  <si>
    <t>Printer</t>
  </si>
  <si>
    <t>Laptop</t>
  </si>
  <si>
    <t>Mouse</t>
  </si>
  <si>
    <t>Monitor</t>
  </si>
  <si>
    <t>Headset</t>
  </si>
  <si>
    <t>Keyboard</t>
  </si>
  <si>
    <t>Tablet</t>
  </si>
  <si>
    <t>Phone</t>
  </si>
  <si>
    <t>Office</t>
  </si>
  <si>
    <t>Electronics</t>
  </si>
  <si>
    <t>Accessories</t>
  </si>
  <si>
    <t>Credit Card</t>
  </si>
  <si>
    <t>Bank Transfer</t>
  </si>
  <si>
    <t>Cash</t>
  </si>
  <si>
    <t>Mobile Payment</t>
  </si>
  <si>
    <t>New</t>
  </si>
  <si>
    <t>Returning</t>
  </si>
  <si>
    <t>November</t>
  </si>
  <si>
    <t>December</t>
  </si>
  <si>
    <t>September</t>
  </si>
  <si>
    <t>March</t>
  </si>
  <si>
    <t>February</t>
  </si>
  <si>
    <t>August</t>
  </si>
  <si>
    <t>July</t>
  </si>
  <si>
    <t>October</t>
  </si>
  <si>
    <t>January</t>
  </si>
  <si>
    <t>May</t>
  </si>
  <si>
    <t>April</t>
  </si>
  <si>
    <t>June</t>
  </si>
  <si>
    <t>Month Name</t>
  </si>
  <si>
    <t>Grand Total</t>
  </si>
  <si>
    <t>Total-Sales</t>
  </si>
  <si>
    <t>Product Sales</t>
  </si>
  <si>
    <t>Monthly Sales</t>
  </si>
  <si>
    <t>Total Sales by Category</t>
  </si>
  <si>
    <t>mnth name</t>
  </si>
  <si>
    <t>Nov</t>
  </si>
  <si>
    <t>Dec</t>
  </si>
  <si>
    <t>Sep</t>
  </si>
  <si>
    <t>Mar</t>
  </si>
  <si>
    <t>Feb</t>
  </si>
  <si>
    <t>Aug</t>
  </si>
  <si>
    <t>Jul</t>
  </si>
  <si>
    <t>Oct</t>
  </si>
  <si>
    <t>Jan</t>
  </si>
  <si>
    <t>Apr</t>
  </si>
  <si>
    <t>Jun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</si>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</sst>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quot;₦&quot;#,##0"/>
    <numFmt numFmtId="165" formatCode="&quot;₦&quot;0.00,,&quot;M&quot;"/>
    <numFmt numFmtId="166" formatCode="[&gt;=1000000]&quot;₦&quot;#,##0.00,,&quot;M&quot;;[&gt;=1000]&quot;₦&quot;#,##0.00,&quot;K&quot;;0"/>
    <numFmt numFmtId="167" formatCode="&quot;₦&quot;#,##0.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164" fontId="1" fillId="0" borderId="1" xfId="0" applyNumberFormat="1" applyFont="1" applyBorder="1" applyAlignment="1">
      <alignment horizontal="center" vertical="top"/>
    </xf>
    <xf numFmtId="0" fontId="0" fillId="0" borderId="0" xfId="0" pivotButton="1"/>
    <xf numFmtId="165" fontId="0" fillId="0" borderId="0" xfId="0" applyNumberFormat="1"/>
    <xf numFmtId="166" fontId="0" fillId="0" borderId="0" xfId="0" applyNumberFormat="1"/>
    <xf numFmtId="0" fontId="3" fillId="0" borderId="0" xfId="0" applyFont="1"/>
    <xf numFmtId="44" fontId="0" fillId="0" borderId="0" xfId="1" applyFont="1"/>
    <xf numFmtId="167" fontId="0" fillId="0" borderId="0" xfId="0" applyNumberFormat="1"/>
  </cellXfs>
  <cellStyles count="2">
    <cellStyle name="Currency" xfId="1" builtinId="4"/>
    <cellStyle name="Normal" xfId="0" builtinId="0"/>
  </cellStyles>
  <dxfs count="9">
    <dxf>
      <numFmt numFmtId="165" formatCode="&quot;₦&quot;0.00,,&quot;M&quot;"/>
    </dxf>
    <dxf>
      <numFmt numFmtId="166" formatCode="[&gt;=1000000]&quot;₦&quot;#,##0.00,,&quot;M&quot;;[&gt;=1000]&quot;₦&quot;#,##0.00,&quot;K&quot;;0"/>
    </dxf>
    <dxf>
      <numFmt numFmtId="165" formatCode="&quot;₦&quot;0.00,,&quot;M&quot;"/>
    </dxf>
    <dxf>
      <numFmt numFmtId="164" formatCode="&quot;₦&quot;#,##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theme="0"/>
      </font>
      <border>
        <bottom style="thin">
          <color theme="4"/>
        </bottom>
        <vertical/>
        <horizontal/>
      </border>
    </dxf>
    <dxf>
      <font>
        <sz val="20"/>
        <color theme="1"/>
      </font>
      <fill>
        <patternFill>
          <bgColor theme="8" tint="-0.24994659260841701"/>
        </patternFill>
      </fill>
      <border diagonalUp="0" diagonalDown="0">
        <left/>
        <right/>
        <top/>
        <bottom/>
        <vertical/>
        <horizontal/>
      </border>
    </dxf>
  </dxfs>
  <tableStyles count="1" defaultTableStyle="TableStyleMedium9" defaultPivotStyle="PivotStyleLight16">
    <tableStyle name="SlicerStyleLight1 2" pivot="0" table="0" count="10" xr9:uid="{100D512E-1EEA-429D-B05F-FFD839DA7CB7}">
      <tableStyleElement type="wholeTable" dxfId="8"/>
      <tableStyleElement type="headerRow" dxfId="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89013336588644"/>
              <bgColor theme="8" tint="0.59996337778862885"/>
            </patternFill>
          </fill>
          <border>
            <left style="thin">
              <color rgb="FFCCCCCC"/>
            </left>
            <right style="thin">
              <color rgb="FFCCCCCC"/>
            </right>
            <top style="thin">
              <color rgb="FFCCCCCC"/>
            </top>
            <bottom style="thin">
              <color rgb="FFCCCCCC"/>
            </bottom>
            <vertical/>
            <horizontal/>
          </border>
        </dxf>
        <dxf>
          <font>
            <sz val="20"/>
            <color theme="0"/>
          </font>
          <fill>
            <patternFill patternType="solid">
              <fgColor theme="4" tint="0.59999389629810485"/>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8"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BEAUTY DASHBOARD.xlsx]pivot table!PivotTable1</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Product</a:t>
            </a:r>
            <a:r>
              <a:rPr lang="en-US" sz="2400" b="1" baseline="0"/>
              <a:t> Sales</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numFmt formatCode="&quot;₦&quot;0.0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27528855665459E-2"/>
          <c:y val="0.20418643986489968"/>
          <c:w val="0.9370398823595637"/>
          <c:h val="0.53053082486883507"/>
        </c:manualLayout>
      </c:layout>
      <c:barChart>
        <c:barDir val="col"/>
        <c:grouping val="clustered"/>
        <c:varyColors val="0"/>
        <c:ser>
          <c:idx val="0"/>
          <c:order val="0"/>
          <c:tx>
            <c:strRef>
              <c:f>'pivot table'!$C$7</c:f>
              <c:strCache>
                <c:ptCount val="1"/>
                <c:pt idx="0">
                  <c:v>Total</c:v>
                </c:pt>
              </c:strCache>
            </c:strRef>
          </c:tx>
          <c:spPr>
            <a:solidFill>
              <a:schemeClr val="tx2">
                <a:lumMod val="50000"/>
              </a:schemeClr>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table'!$B$8:$B$15</c:f>
              <c:strCache>
                <c:ptCount val="7"/>
                <c:pt idx="0">
                  <c:v>Headset</c:v>
                </c:pt>
                <c:pt idx="1">
                  <c:v>Keyboard</c:v>
                </c:pt>
                <c:pt idx="2">
                  <c:v>Laptop</c:v>
                </c:pt>
                <c:pt idx="3">
                  <c:v>Monitor</c:v>
                </c:pt>
                <c:pt idx="4">
                  <c:v>Mouse</c:v>
                </c:pt>
                <c:pt idx="5">
                  <c:v>Phone</c:v>
                </c:pt>
                <c:pt idx="6">
                  <c:v>Printer</c:v>
                </c:pt>
              </c:strCache>
            </c:strRef>
          </c:cat>
          <c:val>
            <c:numRef>
              <c:f>'pivot table'!$C$8:$C$15</c:f>
              <c:numCache>
                <c:formatCode>"₦"#,##0</c:formatCode>
                <c:ptCount val="7"/>
                <c:pt idx="0">
                  <c:v>8032</c:v>
                </c:pt>
                <c:pt idx="1">
                  <c:v>44036</c:v>
                </c:pt>
                <c:pt idx="2">
                  <c:v>23086</c:v>
                </c:pt>
                <c:pt idx="3">
                  <c:v>25143</c:v>
                </c:pt>
                <c:pt idx="4">
                  <c:v>62920</c:v>
                </c:pt>
                <c:pt idx="5">
                  <c:v>6580</c:v>
                </c:pt>
                <c:pt idx="6">
                  <c:v>11267</c:v>
                </c:pt>
              </c:numCache>
            </c:numRef>
          </c:val>
          <c:extLst>
            <c:ext xmlns:c16="http://schemas.microsoft.com/office/drawing/2014/chart" uri="{C3380CC4-5D6E-409C-BE32-E72D297353CC}">
              <c16:uniqueId val="{00000000-D7B1-475D-A64B-B1C1C0DE39F9}"/>
            </c:ext>
          </c:extLst>
        </c:ser>
        <c:dLbls>
          <c:dLblPos val="outEnd"/>
          <c:showLegendKey val="0"/>
          <c:showVal val="1"/>
          <c:showCatName val="0"/>
          <c:showSerName val="0"/>
          <c:showPercent val="0"/>
          <c:showBubbleSize val="0"/>
        </c:dLbls>
        <c:gapWidth val="219"/>
        <c:overlap val="-27"/>
        <c:axId val="1244274111"/>
        <c:axId val="1244292831"/>
      </c:barChart>
      <c:catAx>
        <c:axId val="124427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44292831"/>
        <c:crosses val="autoZero"/>
        <c:auto val="1"/>
        <c:lblAlgn val="ctr"/>
        <c:lblOffset val="100"/>
        <c:noMultiLvlLbl val="0"/>
      </c:catAx>
      <c:valAx>
        <c:axId val="1244292831"/>
        <c:scaling>
          <c:orientation val="minMax"/>
        </c:scaling>
        <c:delete val="1"/>
        <c:axPos val="l"/>
        <c:numFmt formatCode="&quot;₦&quot;#,##0" sourceLinked="1"/>
        <c:majorTickMark val="none"/>
        <c:minorTickMark val="none"/>
        <c:tickLblPos val="nextTo"/>
        <c:crossAx val="124427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BEAUTY DASHBOARD.xlsx]pivot table!PivotTable4</c:name>
    <c:fmtId val="1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Category</a:t>
            </a:r>
            <a:r>
              <a:rPr lang="en-US" sz="2400" b="1" baseline="0"/>
              <a:t> Sales</a:t>
            </a:r>
            <a:endParaRPr lang="en-US" sz="2400" b="1"/>
          </a:p>
        </c:rich>
      </c:tx>
      <c:layout>
        <c:manualLayout>
          <c:xMode val="edge"/>
          <c:yMode val="edge"/>
          <c:x val="0.34662715496055463"/>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25400">
            <a:solidFill>
              <a:schemeClr val="lt1"/>
            </a:solidFill>
          </a:ln>
          <a:effectLst/>
          <a:sp3d contourW="25400">
            <a:contourClr>
              <a:schemeClr val="lt1"/>
            </a:contourClr>
          </a:sp3d>
        </c:spPr>
      </c:pivotFmt>
      <c:pivotFmt>
        <c:idx val="2"/>
        <c:spPr>
          <a:solidFill>
            <a:schemeClr val="tx2">
              <a:lumMod val="60000"/>
              <a:lumOff val="40000"/>
            </a:schemeClr>
          </a:solidFill>
          <a:ln w="25400">
            <a:solidFill>
              <a:schemeClr val="lt1"/>
            </a:solidFill>
          </a:ln>
          <a:effectLst/>
          <a:sp3d contourW="25400">
            <a:contourClr>
              <a:schemeClr val="lt1"/>
            </a:contourClr>
          </a:sp3d>
        </c:spPr>
      </c:pivotFmt>
      <c:pivotFmt>
        <c:idx val="3"/>
        <c:spPr>
          <a:solidFill>
            <a:schemeClr val="tx2">
              <a:lumMod val="20000"/>
              <a:lumOff val="8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w="25400">
            <a:solidFill>
              <a:schemeClr val="lt1"/>
            </a:solidFill>
          </a:ln>
          <a:effectLst/>
          <a:sp3d contourW="25400">
            <a:contourClr>
              <a:schemeClr val="lt1"/>
            </a:contourClr>
          </a:sp3d>
        </c:spPr>
      </c:pivotFmt>
      <c:pivotFmt>
        <c:idx val="6"/>
        <c:spPr>
          <a:solidFill>
            <a:schemeClr val="tx2">
              <a:lumMod val="50000"/>
            </a:schemeClr>
          </a:solidFill>
          <a:ln w="25400">
            <a:solidFill>
              <a:schemeClr val="lt1"/>
            </a:solidFill>
          </a:ln>
          <a:effectLst/>
          <a:sp3d contourW="25400">
            <a:contourClr>
              <a:schemeClr val="lt1"/>
            </a:contourClr>
          </a:sp3d>
        </c:spPr>
      </c:pivotFmt>
      <c:pivotFmt>
        <c:idx val="7"/>
        <c:spPr>
          <a:solidFill>
            <a:schemeClr val="tx2">
              <a:lumMod val="20000"/>
              <a:lumOff val="8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w="25400">
            <a:solidFill>
              <a:schemeClr val="lt1"/>
            </a:solidFill>
          </a:ln>
          <a:effectLst/>
          <a:sp3d contourW="25400">
            <a:contourClr>
              <a:schemeClr val="lt1"/>
            </a:contourClr>
          </a:sp3d>
        </c:spPr>
        <c:dLbl>
          <c:idx val="0"/>
          <c:layout>
            <c:manualLayout>
              <c:x val="-2.4399999999999999E-3"/>
              <c:y val="-4.327633277778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schemeClr>
          </a:solidFill>
          <a:ln w="25400">
            <a:solidFill>
              <a:schemeClr val="lt1"/>
            </a:solidFill>
          </a:ln>
          <a:effectLst/>
          <a:sp3d contourW="25400">
            <a:contourClr>
              <a:schemeClr val="lt1"/>
            </a:contourClr>
          </a:sp3d>
        </c:spPr>
        <c:dLbl>
          <c:idx val="0"/>
          <c:layout>
            <c:manualLayout>
              <c:x val="-6.8575118110236227E-2"/>
              <c:y val="-0.24649430797581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w="25400">
            <a:solidFill>
              <a:schemeClr val="lt1"/>
            </a:solidFill>
          </a:ln>
          <a:effectLst/>
          <a:sp3d contourW="25400">
            <a:contourClr>
              <a:schemeClr val="lt1"/>
            </a:contourClr>
          </a:sp3d>
        </c:spPr>
        <c:dLbl>
          <c:idx val="0"/>
          <c:layout>
            <c:manualLayout>
              <c:x val="-8.7999895013123358E-2"/>
              <c:y val="-3.20509731525223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999999999999999"/>
                  <c:h val="2.769783335853521E-2"/>
                </c:manualLayout>
              </c15:layout>
            </c:ext>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schemeClr>
          </a:solidFill>
          <a:ln w="25400">
            <a:solidFill>
              <a:schemeClr val="lt1"/>
            </a:solidFill>
          </a:ln>
          <a:effectLst/>
          <a:sp3d contourW="25400">
            <a:contourClr>
              <a:schemeClr val="lt1"/>
            </a:contourClr>
          </a:sp3d>
        </c:spPr>
        <c:dLbl>
          <c:idx val="0"/>
          <c:layout>
            <c:manualLayout>
              <c:x val="-2.4399999999999999E-3"/>
              <c:y val="-4.327633277778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w="25400">
            <a:solidFill>
              <a:schemeClr val="lt1"/>
            </a:solidFill>
          </a:ln>
          <a:effectLst/>
          <a:sp3d contourW="25400">
            <a:contourClr>
              <a:schemeClr val="lt1"/>
            </a:contourClr>
          </a:sp3d>
        </c:spPr>
        <c:dLbl>
          <c:idx val="0"/>
          <c:layout>
            <c:manualLayout>
              <c:x val="-6.8575118110236227E-2"/>
              <c:y val="-0.24649430797581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20000"/>
              <a:lumOff val="80000"/>
            </a:schemeClr>
          </a:solidFill>
          <a:ln w="25400">
            <a:solidFill>
              <a:schemeClr val="lt1"/>
            </a:solidFill>
          </a:ln>
          <a:effectLst/>
          <a:sp3d contourW="25400">
            <a:contourClr>
              <a:schemeClr val="lt1"/>
            </a:contourClr>
          </a:sp3d>
        </c:spPr>
        <c:dLbl>
          <c:idx val="0"/>
          <c:layout>
            <c:manualLayout>
              <c:x val="-8.7999895013123358E-2"/>
              <c:y val="-3.20509731525223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999999999999999"/>
                  <c:h val="2.769783335853521E-2"/>
                </c:manualLayout>
              </c15:layout>
            </c:ext>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w="25400">
            <a:solidFill>
              <a:schemeClr val="lt1"/>
            </a:solidFill>
          </a:ln>
          <a:effectLst/>
          <a:sp3d contourW="25400">
            <a:contourClr>
              <a:schemeClr val="lt1"/>
            </a:contourClr>
          </a:sp3d>
        </c:spPr>
        <c:dLbl>
          <c:idx val="0"/>
          <c:layout>
            <c:manualLayout>
              <c:x val="-2.4399999999999999E-3"/>
              <c:y val="-4.3276332777784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schemeClr>
          </a:solidFill>
          <a:ln w="25400">
            <a:solidFill>
              <a:schemeClr val="lt1"/>
            </a:solidFill>
          </a:ln>
          <a:effectLst/>
          <a:sp3d contourW="25400">
            <a:contourClr>
              <a:schemeClr val="lt1"/>
            </a:contourClr>
          </a:sp3d>
        </c:spPr>
        <c:dLbl>
          <c:idx val="0"/>
          <c:layout>
            <c:manualLayout>
              <c:x val="-6.8575118110236227E-2"/>
              <c:y val="-0.246494307975812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20000"/>
              <a:lumOff val="80000"/>
            </a:schemeClr>
          </a:solidFill>
          <a:ln w="25400">
            <a:solidFill>
              <a:schemeClr val="lt1"/>
            </a:solidFill>
          </a:ln>
          <a:effectLst/>
          <a:sp3d contourW="25400">
            <a:contourClr>
              <a:schemeClr val="lt1"/>
            </a:contourClr>
          </a:sp3d>
        </c:spPr>
        <c:dLbl>
          <c:idx val="0"/>
          <c:layout>
            <c:manualLayout>
              <c:x val="-2.1333123359580101E-2"/>
              <c:y val="-8.3099731309207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6"/>
                  <c:h val="7.5179833401738436E-2"/>
                </c:manualLayout>
              </c15:layout>
            </c:ext>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60000"/>
              <a:lumOff val="40000"/>
            </a:schemeClr>
          </a:solidFill>
          <a:ln w="25400">
            <a:solidFill>
              <a:schemeClr val="lt1"/>
            </a:solidFill>
          </a:ln>
          <a:effectLst/>
          <a:sp3d contourW="25400">
            <a:contourClr>
              <a:schemeClr val="lt1"/>
            </a:contourClr>
          </a:sp3d>
        </c:spPr>
        <c:dLbl>
          <c:idx val="0"/>
          <c:layout>
            <c:manualLayout>
              <c:x val="-2.4399999999999999E-3"/>
              <c:y val="-4.3276332777784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50000"/>
            </a:schemeClr>
          </a:solidFill>
          <a:ln w="25400">
            <a:solidFill>
              <a:schemeClr val="lt1"/>
            </a:solidFill>
          </a:ln>
          <a:effectLst/>
          <a:sp3d contourW="25400">
            <a:contourClr>
              <a:schemeClr val="lt1"/>
            </a:contourClr>
          </a:sp3d>
        </c:spPr>
        <c:dLbl>
          <c:idx val="0"/>
          <c:layout>
            <c:manualLayout>
              <c:x val="-6.8575118110236227E-2"/>
              <c:y val="-0.246494307975812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20000"/>
              <a:lumOff val="80000"/>
            </a:schemeClr>
          </a:solidFill>
          <a:ln w="25400">
            <a:solidFill>
              <a:schemeClr val="lt1"/>
            </a:solidFill>
          </a:ln>
          <a:effectLst/>
          <a:sp3d contourW="25400">
            <a:contourClr>
              <a:schemeClr val="lt1"/>
            </a:contourClr>
          </a:sp3d>
        </c:spPr>
        <c:dLbl>
          <c:idx val="0"/>
          <c:layout>
            <c:manualLayout>
              <c:x val="-2.1333123359580101E-2"/>
              <c:y val="-8.3099731309207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6"/>
                  <c:h val="7.5179833401738436E-2"/>
                </c:manualLayout>
              </c15:layout>
            </c:ext>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w="25400">
            <a:solidFill>
              <a:schemeClr val="lt1"/>
            </a:solidFill>
          </a:ln>
          <a:effectLst/>
          <a:sp3d contourW="25400">
            <a:contourClr>
              <a:schemeClr val="lt1"/>
            </a:contourClr>
          </a:sp3d>
        </c:spPr>
        <c:dLbl>
          <c:idx val="0"/>
          <c:layout>
            <c:manualLayout>
              <c:x val="6.2512846368562053E-2"/>
              <c:y val="-5.2493816474302769E-2"/>
            </c:manualLayout>
          </c:layout>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50000"/>
            </a:schemeClr>
          </a:solidFill>
          <a:ln w="25400">
            <a:solidFill>
              <a:schemeClr val="lt1"/>
            </a:solidFill>
          </a:ln>
          <a:effectLst/>
          <a:sp3d contourW="25400">
            <a:contourClr>
              <a:schemeClr val="lt1"/>
            </a:contourClr>
          </a:sp3d>
        </c:spPr>
        <c:dLbl>
          <c:idx val="0"/>
          <c:layout>
            <c:manualLayout>
              <c:x val="5.1309106903396672E-3"/>
              <c:y val="-9.4668215916636836E-3"/>
            </c:manualLayout>
          </c:layout>
          <c:tx>
            <c:rich>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fld id="{0BCD0937-E7C8-4BD3-B1AE-6848E6015109}" type="VALUE">
                  <a:rPr lang="en-US" b="1">
                    <a:solidFill>
                      <a:schemeClr val="tx1">
                        <a:lumMod val="75000"/>
                        <a:lumOff val="25000"/>
                      </a:schemeClr>
                    </a:solidFill>
                  </a:rPr>
                  <a:pPr algn="ctr">
                    <a:defRPr lang="en-US" sz="1600" b="1"/>
                  </a:pPr>
                  <a:t>[VALUE]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tx2">
              <a:lumMod val="20000"/>
              <a:lumOff val="80000"/>
            </a:schemeClr>
          </a:solidFill>
          <a:ln w="25400">
            <a:solidFill>
              <a:schemeClr val="lt1"/>
            </a:solidFill>
          </a:ln>
          <a:effectLst/>
          <a:sp3d contourW="25400">
            <a:contourClr>
              <a:schemeClr val="lt1"/>
            </a:contourClr>
          </a:sp3d>
        </c:spPr>
        <c:dLbl>
          <c:idx val="0"/>
          <c:layout>
            <c:manualLayout>
              <c:x val="-9.4277843574654741E-2"/>
              <c:y val="-1.3653310105478657E-2"/>
            </c:manualLayout>
          </c:layout>
          <c:spPr>
            <a:noFill/>
            <a:ln>
              <a:noFill/>
            </a:ln>
            <a:effectLst/>
          </c:spPr>
          <c:txPr>
            <a:bodyPr rot="0" spcFirstLastPara="1" vertOverflow="ellipsis" vert="horz" wrap="square" lIns="38100" tIns="19050" rIns="38100" bIns="19050" anchor="ctr" anchorCtr="0">
              <a:no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11711679800496"/>
                  <c:h val="6.7556613810223418E-2"/>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230169715863098E-2"/>
          <c:y val="0.2095319054196963"/>
          <c:w val="0.81633343832020999"/>
          <c:h val="0.65333487314039218"/>
        </c:manualLayout>
      </c:layout>
      <c:pie3DChart>
        <c:varyColors val="1"/>
        <c:ser>
          <c:idx val="0"/>
          <c:order val="0"/>
          <c:tx>
            <c:strRef>
              <c:f>'pivot table'!$M$7</c:f>
              <c:strCache>
                <c:ptCount val="1"/>
                <c:pt idx="0">
                  <c:v>Total</c:v>
                </c:pt>
              </c:strCache>
            </c:strRef>
          </c:tx>
          <c:dPt>
            <c:idx val="0"/>
            <c:bubble3D val="0"/>
            <c:spPr>
              <a:solidFill>
                <a:schemeClr val="tx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24-4193-8DC8-0BCA17B45073}"/>
              </c:ext>
            </c:extLst>
          </c:dPt>
          <c:dPt>
            <c:idx val="1"/>
            <c:bubble3D val="0"/>
            <c:spPr>
              <a:solidFill>
                <a:schemeClr val="tx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24-4193-8DC8-0BCA17B45073}"/>
              </c:ext>
            </c:extLst>
          </c:dPt>
          <c:dPt>
            <c:idx val="2"/>
            <c:bubble3D val="0"/>
            <c:spPr>
              <a:solidFill>
                <a:schemeClr val="tx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D24-4193-8DC8-0BCA17B45073}"/>
              </c:ext>
            </c:extLst>
          </c:dPt>
          <c:dLbls>
            <c:dLbl>
              <c:idx val="0"/>
              <c:layout>
                <c:manualLayout>
                  <c:x val="6.2512846368562053E-2"/>
                  <c:y val="-5.2493816474302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24-4193-8DC8-0BCA17B45073}"/>
                </c:ext>
              </c:extLst>
            </c:dLbl>
            <c:dLbl>
              <c:idx val="1"/>
              <c:layout>
                <c:manualLayout>
                  <c:x val="5.1309106903396672E-3"/>
                  <c:y val="-9.4668215916636836E-3"/>
                </c:manualLayout>
              </c:layout>
              <c:tx>
                <c:rich>
                  <a:bodyPr/>
                  <a:lstStyle/>
                  <a:p>
                    <a:fld id="{0BCD0937-E7C8-4BD3-B1AE-6848E6015109}" type="VALUE">
                      <a:rPr lang="en-US" b="1">
                        <a:solidFill>
                          <a:schemeClr val="tx1">
                            <a:lumMod val="75000"/>
                            <a:lumOff val="2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D24-4193-8DC8-0BCA17B45073}"/>
                </c:ext>
              </c:extLst>
            </c:dLbl>
            <c:dLbl>
              <c:idx val="2"/>
              <c:layout>
                <c:manualLayout>
                  <c:x val="-9.4277843574654741E-2"/>
                  <c:y val="-1.3653310105478657E-2"/>
                </c:manualLayout>
              </c:layout>
              <c:spPr>
                <a:noFill/>
                <a:ln>
                  <a:noFill/>
                </a:ln>
                <a:effectLst/>
              </c:spPr>
              <c:txPr>
                <a:bodyPr rot="0" spcFirstLastPara="1" vertOverflow="ellipsis" vert="horz" wrap="square" lIns="38100" tIns="19050" rIns="38100" bIns="19050" anchor="ctr" anchorCtr="0">
                  <a:no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11711679800496"/>
                      <c:h val="6.7556613810223418E-2"/>
                    </c:manualLayout>
                  </c15:layout>
                </c:ext>
                <c:ext xmlns:c16="http://schemas.microsoft.com/office/drawing/2014/chart" uri="{C3380CC4-5D6E-409C-BE32-E72D297353CC}">
                  <c16:uniqueId val="{00000005-0D24-4193-8DC8-0BCA17B45073}"/>
                </c:ext>
              </c:extLst>
            </c:dLbl>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table'!$L$8:$L$11</c:f>
              <c:strCache>
                <c:ptCount val="3"/>
                <c:pt idx="0">
                  <c:v>Accessories</c:v>
                </c:pt>
                <c:pt idx="1">
                  <c:v>Electronics</c:v>
                </c:pt>
                <c:pt idx="2">
                  <c:v>Office</c:v>
                </c:pt>
              </c:strCache>
            </c:strRef>
          </c:cat>
          <c:val>
            <c:numRef>
              <c:f>'pivot table'!$M$8:$M$11</c:f>
              <c:numCache>
                <c:formatCode>"₦"#,##0</c:formatCode>
                <c:ptCount val="3"/>
                <c:pt idx="0">
                  <c:v>114988</c:v>
                </c:pt>
                <c:pt idx="1">
                  <c:v>54809</c:v>
                </c:pt>
                <c:pt idx="2">
                  <c:v>11267</c:v>
                </c:pt>
              </c:numCache>
            </c:numRef>
          </c:val>
          <c:extLst>
            <c:ext xmlns:c16="http://schemas.microsoft.com/office/drawing/2014/chart" uri="{C3380CC4-5D6E-409C-BE32-E72D297353CC}">
              <c16:uniqueId val="{00000006-0D24-4193-8DC8-0BCA17B45073}"/>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BEAUTY DASHBOARD.xlsx]pivot table!PivotTable6</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Payment</a:t>
            </a:r>
            <a:r>
              <a:rPr lang="en-US" sz="2400" b="1" baseline="0"/>
              <a:t> Type</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dLbl>
          <c:idx val="0"/>
          <c:layout>
            <c:manualLayout>
              <c:x val="-1.600510361245454E-16"/>
              <c:y val="-4.888889546926381E-2"/>
            </c:manualLayout>
          </c:layout>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table'!$M$15</c:f>
              <c:strCache>
                <c:ptCount val="1"/>
                <c:pt idx="0">
                  <c:v>Total</c:v>
                </c:pt>
              </c:strCache>
            </c:strRef>
          </c:tx>
          <c:spPr>
            <a:solidFill>
              <a:schemeClr val="tx2">
                <a:lumMod val="50000"/>
              </a:schemeClr>
            </a:solidFill>
            <a:ln>
              <a:noFill/>
            </a:ln>
            <a:effectLst/>
          </c:spPr>
          <c:invertIfNegative val="0"/>
          <c:dPt>
            <c:idx val="3"/>
            <c:invertIfNegative val="0"/>
            <c:bubble3D val="0"/>
            <c:spPr>
              <a:solidFill>
                <a:schemeClr val="tx2">
                  <a:lumMod val="50000"/>
                </a:schemeClr>
              </a:solidFill>
              <a:ln>
                <a:noFill/>
              </a:ln>
              <a:effectLst/>
            </c:spPr>
            <c:extLst>
              <c:ext xmlns:c16="http://schemas.microsoft.com/office/drawing/2014/chart" uri="{C3380CC4-5D6E-409C-BE32-E72D297353CC}">
                <c16:uniqueId val="{00000000-FEDF-4CAD-A6F0-E6CEC8C6D7DF}"/>
              </c:ext>
            </c:extLst>
          </c:dPt>
          <c:dLbls>
            <c:dLbl>
              <c:idx val="3"/>
              <c:layout>
                <c:manualLayout>
                  <c:x val="-1.600510361245454E-16"/>
                  <c:y val="-4.8888895469263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DF-4CAD-A6F0-E6CEC8C6D7DF}"/>
                </c:ext>
              </c:extLst>
            </c:dLbl>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table'!$L$16:$L$20</c:f>
              <c:strCache>
                <c:ptCount val="4"/>
                <c:pt idx="0">
                  <c:v>Bank Transfer</c:v>
                </c:pt>
                <c:pt idx="1">
                  <c:v>Cash</c:v>
                </c:pt>
                <c:pt idx="2">
                  <c:v>Credit Card</c:v>
                </c:pt>
                <c:pt idx="3">
                  <c:v>Mobile Payment</c:v>
                </c:pt>
              </c:strCache>
            </c:strRef>
          </c:cat>
          <c:val>
            <c:numRef>
              <c:f>'pivot table'!$M$16:$M$20</c:f>
              <c:numCache>
                <c:formatCode>"₦"#,##0</c:formatCode>
                <c:ptCount val="4"/>
                <c:pt idx="0">
                  <c:v>61228</c:v>
                </c:pt>
                <c:pt idx="1">
                  <c:v>36716</c:v>
                </c:pt>
                <c:pt idx="2">
                  <c:v>22844</c:v>
                </c:pt>
                <c:pt idx="3">
                  <c:v>60276</c:v>
                </c:pt>
              </c:numCache>
            </c:numRef>
          </c:val>
          <c:extLst>
            <c:ext xmlns:c16="http://schemas.microsoft.com/office/drawing/2014/chart" uri="{C3380CC4-5D6E-409C-BE32-E72D297353CC}">
              <c16:uniqueId val="{00000000-DED3-49EC-9F59-6104F82F56E6}"/>
            </c:ext>
          </c:extLst>
        </c:ser>
        <c:dLbls>
          <c:dLblPos val="outEnd"/>
          <c:showLegendKey val="0"/>
          <c:showVal val="1"/>
          <c:showCatName val="0"/>
          <c:showSerName val="0"/>
          <c:showPercent val="0"/>
          <c:showBubbleSize val="0"/>
        </c:dLbls>
        <c:gapWidth val="182"/>
        <c:axId val="1956287343"/>
        <c:axId val="1956288783"/>
      </c:barChart>
      <c:catAx>
        <c:axId val="195628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56288783"/>
        <c:crosses val="autoZero"/>
        <c:auto val="1"/>
        <c:lblAlgn val="ctr"/>
        <c:lblOffset val="100"/>
        <c:noMultiLvlLbl val="0"/>
      </c:catAx>
      <c:valAx>
        <c:axId val="1956288783"/>
        <c:scaling>
          <c:orientation val="minMax"/>
        </c:scaling>
        <c:delete val="0"/>
        <c:axPos val="b"/>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95628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Sales</a:t>
            </a:r>
            <a:r>
              <a:rPr lang="en-US" sz="2400" b="1" baseline="0"/>
              <a:t> by Salesperson</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lumMod val="50000"/>
              </a:schemeClr>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table'!$Q$16:$Q$23</c:f>
              <c:strCache>
                <c:ptCount val="8"/>
                <c:pt idx="0">
                  <c:v>David Brown</c:v>
                </c:pt>
                <c:pt idx="1">
                  <c:v>James Green</c:v>
                </c:pt>
                <c:pt idx="2">
                  <c:v>Jane Smith</c:v>
                </c:pt>
                <c:pt idx="3">
                  <c:v>John Doe</c:v>
                </c:pt>
                <c:pt idx="4">
                  <c:v>Linda White</c:v>
                </c:pt>
                <c:pt idx="5">
                  <c:v>Michael Lee</c:v>
                </c:pt>
                <c:pt idx="6">
                  <c:v>Sarah Johnson</c:v>
                </c:pt>
                <c:pt idx="7">
                  <c:v>Grand Total</c:v>
                </c:pt>
              </c:strCache>
            </c:strRef>
          </c:cat>
          <c:val>
            <c:numRef>
              <c:f>'pivot table'!$R$16:$R$23</c:f>
              <c:numCache>
                <c:formatCode>"₦"#,##0</c:formatCode>
                <c:ptCount val="8"/>
                <c:pt idx="0">
                  <c:v>20142</c:v>
                </c:pt>
                <c:pt idx="1">
                  <c:v>27398</c:v>
                </c:pt>
                <c:pt idx="2">
                  <c:v>31143</c:v>
                </c:pt>
                <c:pt idx="3">
                  <c:v>27635</c:v>
                </c:pt>
                <c:pt idx="4">
                  <c:v>2847</c:v>
                </c:pt>
                <c:pt idx="5">
                  <c:v>32911</c:v>
                </c:pt>
                <c:pt idx="6">
                  <c:v>38988</c:v>
                </c:pt>
                <c:pt idx="7">
                  <c:v>181064</c:v>
                </c:pt>
              </c:numCache>
            </c:numRef>
          </c:val>
          <c:extLst>
            <c:ext xmlns:c16="http://schemas.microsoft.com/office/drawing/2014/chart" uri="{C3380CC4-5D6E-409C-BE32-E72D297353CC}">
              <c16:uniqueId val="{00000000-B598-4989-989B-0E938CB999AB}"/>
            </c:ext>
          </c:extLst>
        </c:ser>
        <c:dLbls>
          <c:dLblPos val="outEnd"/>
          <c:showLegendKey val="0"/>
          <c:showVal val="1"/>
          <c:showCatName val="0"/>
          <c:showSerName val="0"/>
          <c:showPercent val="0"/>
          <c:showBubbleSize val="0"/>
        </c:dLbls>
        <c:gapWidth val="219"/>
        <c:overlap val="-27"/>
        <c:axId val="440643695"/>
        <c:axId val="440644175"/>
      </c:barChart>
      <c:catAx>
        <c:axId val="44064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40644175"/>
        <c:crosses val="autoZero"/>
        <c:auto val="1"/>
        <c:lblAlgn val="ctr"/>
        <c:lblOffset val="100"/>
        <c:noMultiLvlLbl val="0"/>
      </c:catAx>
      <c:valAx>
        <c:axId val="440644175"/>
        <c:scaling>
          <c:orientation val="minMax"/>
        </c:scaling>
        <c:delete val="1"/>
        <c:axPos val="l"/>
        <c:numFmt formatCode="&quot;₦&quot;#,##0" sourceLinked="1"/>
        <c:majorTickMark val="none"/>
        <c:minorTickMark val="none"/>
        <c:tickLblPos val="nextTo"/>
        <c:crossAx val="44064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BEAUTY DASHBOARD.xlsx]pivot table!PivotTable5</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Sales</a:t>
            </a:r>
            <a:r>
              <a:rPr lang="en-US" sz="2400" b="1" baseline="0"/>
              <a:t> by Customer Type</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solidFill>
              <a:schemeClr val="lt1"/>
            </a:solidFill>
          </a:ln>
          <a:effectLst/>
        </c:spPr>
      </c:pivotFmt>
      <c:pivotFmt>
        <c:idx val="5"/>
        <c:spPr>
          <a:solidFill>
            <a:schemeClr val="accent1">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lt1"/>
            </a:solidFill>
          </a:ln>
          <a:effectLst/>
        </c:spPr>
        <c:dLbl>
          <c:idx val="0"/>
          <c:layout>
            <c:manualLayout>
              <c:x val="0.10999999793775782"/>
              <c:y val="-4.7826088775765101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dLbl>
          <c:idx val="0"/>
          <c:layout>
            <c:manualLayout>
              <c:x val="-0.13880952120717061"/>
              <c:y val="-6.3768118367686796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c:spPr>
        <c:dLbl>
          <c:idx val="0"/>
          <c:layout>
            <c:manualLayout>
              <c:x val="0.10999999793775782"/>
              <c:y val="-4.7826088775765101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dLbl>
          <c:idx val="0"/>
          <c:layout>
            <c:manualLayout>
              <c:x val="-0.13880952120717061"/>
              <c:y val="-6.3768118367686796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0.12027077320819039"/>
              <c:y val="-9.8266861953269308E-2"/>
            </c:manualLayout>
          </c:layout>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w="19050">
            <a:solidFill>
              <a:schemeClr val="accent5">
                <a:lumMod val="20000"/>
                <a:lumOff val="80000"/>
              </a:schemeClr>
            </a:solidFill>
          </a:ln>
          <a:effectLst/>
        </c:spPr>
        <c:dLbl>
          <c:idx val="0"/>
          <c:layout>
            <c:manualLayout>
              <c:x val="-0.14497190579160099"/>
              <c:y val="-5.9888095155169137E-2"/>
            </c:manualLayout>
          </c:layout>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92268888212501"/>
          <c:y val="0.17591757677802794"/>
          <c:w val="0.3424110640016152"/>
          <c:h val="0.70963455093896877"/>
        </c:manualLayout>
      </c:layout>
      <c:doughnutChart>
        <c:varyColors val="1"/>
        <c:ser>
          <c:idx val="0"/>
          <c:order val="0"/>
          <c:tx>
            <c:strRef>
              <c:f>'pivot table'!$P$7</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2571-49BD-A640-02EC94FACD3E}"/>
              </c:ext>
            </c:extLst>
          </c:dPt>
          <c:dPt>
            <c:idx val="1"/>
            <c:bubble3D val="0"/>
            <c:spPr>
              <a:solidFill>
                <a:schemeClr val="accent1">
                  <a:lumMod val="75000"/>
                </a:schemeClr>
              </a:solidFill>
              <a:ln w="19050">
                <a:solidFill>
                  <a:schemeClr val="accent5">
                    <a:lumMod val="20000"/>
                    <a:lumOff val="80000"/>
                  </a:schemeClr>
                </a:solidFill>
              </a:ln>
              <a:effectLst/>
            </c:spPr>
            <c:extLst>
              <c:ext xmlns:c16="http://schemas.microsoft.com/office/drawing/2014/chart" uri="{C3380CC4-5D6E-409C-BE32-E72D297353CC}">
                <c16:uniqueId val="{00000003-2571-49BD-A640-02EC94FACD3E}"/>
              </c:ext>
            </c:extLst>
          </c:dPt>
          <c:dLbls>
            <c:dLbl>
              <c:idx val="0"/>
              <c:layout>
                <c:manualLayout>
                  <c:x val="0.12027077320819039"/>
                  <c:y val="-9.8266861953269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71-49BD-A640-02EC94FACD3E}"/>
                </c:ext>
              </c:extLst>
            </c:dLbl>
            <c:dLbl>
              <c:idx val="1"/>
              <c:layout>
                <c:manualLayout>
                  <c:x val="-0.14497190579160099"/>
                  <c:y val="-5.98880951551691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71-49BD-A640-02EC94FACD3E}"/>
                </c:ext>
              </c:extLst>
            </c:dLbl>
            <c:numFmt formatCode="[&gt;=1000000]&quot;₦&quot;#,##0.00,,&quot;M&quot;;[&gt;=1000]&quot;₦&quot;#,##0.00,&quot;K&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tailEnd type="triangle"/>
                </a:ln>
                <a:effectLst/>
              </c:spPr>
            </c:leaderLines>
            <c:extLst>
              <c:ext xmlns:c15="http://schemas.microsoft.com/office/drawing/2012/chart" uri="{CE6537A1-D6FC-4f65-9D91-7224C49458BB}"/>
            </c:extLst>
          </c:dLbls>
          <c:cat>
            <c:strRef>
              <c:f>'pivot table'!$O$8:$O$10</c:f>
              <c:strCache>
                <c:ptCount val="2"/>
                <c:pt idx="0">
                  <c:v>New</c:v>
                </c:pt>
                <c:pt idx="1">
                  <c:v>Returning</c:v>
                </c:pt>
              </c:strCache>
            </c:strRef>
          </c:cat>
          <c:val>
            <c:numRef>
              <c:f>'pivot table'!$P$8:$P$10</c:f>
              <c:numCache>
                <c:formatCode>"₦"#,##0</c:formatCode>
                <c:ptCount val="2"/>
                <c:pt idx="0">
                  <c:v>119205</c:v>
                </c:pt>
                <c:pt idx="1">
                  <c:v>61859</c:v>
                </c:pt>
              </c:numCache>
            </c:numRef>
          </c:val>
          <c:extLst>
            <c:ext xmlns:c16="http://schemas.microsoft.com/office/drawing/2014/chart" uri="{C3380CC4-5D6E-409C-BE32-E72D297353CC}">
              <c16:uniqueId val="{00000004-2571-49BD-A640-02EC94FACD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7454946068739872"/>
          <c:y val="0.88763535176335384"/>
          <c:w val="0.47031396931045966"/>
          <c:h val="8.4360534229545966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Monthly</a:t>
            </a:r>
            <a:r>
              <a:rPr lang="en-US" sz="2400" b="1" baseline="0"/>
              <a:t> Sales</a:t>
            </a:r>
            <a:endParaRPr lang="en-US"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'pivot table'!$H$5:$H$16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table'!$I$5:$I$16</c:f>
              <c:numCache>
                <c:formatCode>"₦"#,##0</c:formatCode>
                <c:ptCount val="12"/>
                <c:pt idx="0">
                  <c:v>181064</c:v>
                </c:pt>
                <c:pt idx="1">
                  <c:v>53902</c:v>
                </c:pt>
                <c:pt idx="2">
                  <c:v>77600</c:v>
                </c:pt>
                <c:pt idx="3">
                  <c:v>68013</c:v>
                </c:pt>
                <c:pt idx="4">
                  <c:v>108462</c:v>
                </c:pt>
                <c:pt idx="5">
                  <c:v>43416</c:v>
                </c:pt>
                <c:pt idx="6">
                  <c:v>51615</c:v>
                </c:pt>
                <c:pt idx="7">
                  <c:v>142913</c:v>
                </c:pt>
                <c:pt idx="8">
                  <c:v>60290</c:v>
                </c:pt>
                <c:pt idx="9">
                  <c:v>62938</c:v>
                </c:pt>
                <c:pt idx="10">
                  <c:v>43994</c:v>
                </c:pt>
                <c:pt idx="11">
                  <c:v>87805</c:v>
                </c:pt>
              </c:numCache>
            </c:numRef>
          </c:val>
          <c:smooth val="0"/>
          <c:extLst>
            <c:ext xmlns:c16="http://schemas.microsoft.com/office/drawing/2014/chart" uri="{C3380CC4-5D6E-409C-BE32-E72D297353CC}">
              <c16:uniqueId val="{00000000-4C81-4011-B144-E009AC20E4DE}"/>
            </c:ext>
          </c:extLst>
        </c:ser>
        <c:dLbls>
          <c:showLegendKey val="0"/>
          <c:showVal val="0"/>
          <c:showCatName val="0"/>
          <c:showSerName val="0"/>
          <c:showPercent val="0"/>
          <c:showBubbleSize val="0"/>
        </c:dLbls>
        <c:smooth val="0"/>
        <c:axId val="582373791"/>
        <c:axId val="582385311"/>
      </c:lineChart>
      <c:catAx>
        <c:axId val="582373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82385311"/>
        <c:crosses val="autoZero"/>
        <c:auto val="1"/>
        <c:lblAlgn val="ctr"/>
        <c:lblOffset val="100"/>
        <c:noMultiLvlLbl val="0"/>
      </c:catAx>
      <c:valAx>
        <c:axId val="582385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823737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5.xml"/><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552449</xdr:colOff>
      <xdr:row>8</xdr:row>
      <xdr:rowOff>151534</xdr:rowOff>
    </xdr:from>
    <xdr:to>
      <xdr:col>43</xdr:col>
      <xdr:colOff>452005</xdr:colOff>
      <xdr:row>71</xdr:row>
      <xdr:rowOff>148937</xdr:rowOff>
    </xdr:to>
    <xdr:sp macro="" textlink="">
      <xdr:nvSpPr>
        <xdr:cNvPr id="2" name="Rectangle: Rounded Corners 1">
          <a:extLst>
            <a:ext uri="{FF2B5EF4-FFF2-40B4-BE49-F238E27FC236}">
              <a16:creationId xmlns:a16="http://schemas.microsoft.com/office/drawing/2014/main" id="{A0469010-A2AC-F803-3572-6D256DB1DA2B}"/>
            </a:ext>
          </a:extLst>
        </xdr:cNvPr>
        <xdr:cNvSpPr/>
      </xdr:nvSpPr>
      <xdr:spPr>
        <a:xfrm>
          <a:off x="4210049" y="1675534"/>
          <a:ext cx="22454756" cy="12151303"/>
        </a:xfrm>
        <a:prstGeom prst="roundRect">
          <a:avLst>
            <a:gd name="adj" fmla="val 3604"/>
          </a:avLst>
        </a:prstGeom>
        <a:solidFill>
          <a:schemeClr val="bg1">
            <a:lumMod val="8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382731</xdr:colOff>
      <xdr:row>9</xdr:row>
      <xdr:rowOff>54181</xdr:rowOff>
    </xdr:from>
    <xdr:to>
      <xdr:col>43</xdr:col>
      <xdr:colOff>330777</xdr:colOff>
      <xdr:row>16</xdr:row>
      <xdr:rowOff>114300</xdr:rowOff>
    </xdr:to>
    <xdr:sp macro="" textlink="">
      <xdr:nvSpPr>
        <xdr:cNvPr id="6" name="Rectangle: Rounded Corners 5">
          <a:extLst>
            <a:ext uri="{FF2B5EF4-FFF2-40B4-BE49-F238E27FC236}">
              <a16:creationId xmlns:a16="http://schemas.microsoft.com/office/drawing/2014/main" id="{324DD257-67B9-4B90-AD18-2B71E7837C80}"/>
            </a:ext>
          </a:extLst>
        </xdr:cNvPr>
        <xdr:cNvSpPr/>
      </xdr:nvSpPr>
      <xdr:spPr>
        <a:xfrm>
          <a:off x="7088331" y="1768681"/>
          <a:ext cx="19455246" cy="1393619"/>
        </a:xfrm>
        <a:prstGeom prst="roundRect">
          <a:avLst>
            <a:gd name="adj" fmla="val 11496"/>
          </a:avLst>
        </a:prstGeom>
        <a:solidFill>
          <a:schemeClr val="accent5">
            <a:lumMod val="75000"/>
          </a:schemeClr>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50223</xdr:colOff>
      <xdr:row>9</xdr:row>
      <xdr:rowOff>45027</xdr:rowOff>
    </xdr:from>
    <xdr:to>
      <xdr:col>11</xdr:col>
      <xdr:colOff>188770</xdr:colOff>
      <xdr:row>16</xdr:row>
      <xdr:rowOff>79664</xdr:rowOff>
    </xdr:to>
    <xdr:sp macro="" textlink="">
      <xdr:nvSpPr>
        <xdr:cNvPr id="7" name="Rectangle: Rounded Corners 6">
          <a:extLst>
            <a:ext uri="{FF2B5EF4-FFF2-40B4-BE49-F238E27FC236}">
              <a16:creationId xmlns:a16="http://schemas.microsoft.com/office/drawing/2014/main" id="{DE835F0B-4700-4F8E-A86F-EA6576764396}"/>
            </a:ext>
          </a:extLst>
        </xdr:cNvPr>
        <xdr:cNvSpPr/>
      </xdr:nvSpPr>
      <xdr:spPr>
        <a:xfrm>
          <a:off x="4317423" y="1759527"/>
          <a:ext cx="2576947" cy="1368137"/>
        </a:xfrm>
        <a:prstGeom prst="roundRect">
          <a:avLst>
            <a:gd name="adj" fmla="val 9381"/>
          </a:avLst>
        </a:prstGeom>
        <a:solidFill>
          <a:schemeClr val="accent5">
            <a:lumMod val="75000"/>
          </a:schemeClr>
        </a:solidFill>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54797</xdr:colOff>
      <xdr:row>16</xdr:row>
      <xdr:rowOff>148936</xdr:rowOff>
    </xdr:from>
    <xdr:to>
      <xdr:col>11</xdr:col>
      <xdr:colOff>154132</xdr:colOff>
      <xdr:row>64</xdr:row>
      <xdr:rowOff>114300</xdr:rowOff>
    </xdr:to>
    <xdr:sp macro="" textlink="">
      <xdr:nvSpPr>
        <xdr:cNvPr id="8" name="Rectangle: Rounded Corners 7">
          <a:extLst>
            <a:ext uri="{FF2B5EF4-FFF2-40B4-BE49-F238E27FC236}">
              <a16:creationId xmlns:a16="http://schemas.microsoft.com/office/drawing/2014/main" id="{978E5373-653C-4311-83E9-88E56634D721}"/>
            </a:ext>
          </a:extLst>
        </xdr:cNvPr>
        <xdr:cNvSpPr/>
      </xdr:nvSpPr>
      <xdr:spPr>
        <a:xfrm>
          <a:off x="4321997" y="3196936"/>
          <a:ext cx="2537735" cy="9261764"/>
        </a:xfrm>
        <a:prstGeom prst="roundRect">
          <a:avLst>
            <a:gd name="adj" fmla="val 6492"/>
          </a:avLst>
        </a:prstGeom>
        <a:solidFill>
          <a:schemeClr val="accent5">
            <a:lumMod val="75000"/>
          </a:schemeClr>
        </a:solidFill>
        <a:ln>
          <a:noFill/>
        </a:ln>
        <a:effectLst>
          <a:outerShdw blurRad="50800" dist="38100" algn="l"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119496</xdr:colOff>
      <xdr:row>23</xdr:row>
      <xdr:rowOff>148937</xdr:rowOff>
    </xdr:from>
    <xdr:to>
      <xdr:col>32</xdr:col>
      <xdr:colOff>469596</xdr:colOff>
      <xdr:row>43</xdr:row>
      <xdr:rowOff>96981</xdr:rowOff>
    </xdr:to>
    <xdr:sp macro="" textlink="">
      <xdr:nvSpPr>
        <xdr:cNvPr id="3" name="Rectangle: Rounded Corners 2">
          <a:extLst>
            <a:ext uri="{FF2B5EF4-FFF2-40B4-BE49-F238E27FC236}">
              <a16:creationId xmlns:a16="http://schemas.microsoft.com/office/drawing/2014/main" id="{DC33DA5D-6011-4A33-8F41-CC6BF80BE6DF}"/>
            </a:ext>
          </a:extLst>
        </xdr:cNvPr>
        <xdr:cNvSpPr/>
      </xdr:nvSpPr>
      <xdr:spPr>
        <a:xfrm>
          <a:off x="13530696" y="4530437"/>
          <a:ext cx="6446100" cy="3910444"/>
        </a:xfrm>
        <a:prstGeom prst="roundRect">
          <a:avLst>
            <a:gd name="adj" fmla="val 842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11</xdr:col>
      <xdr:colOff>348095</xdr:colOff>
      <xdr:row>23</xdr:row>
      <xdr:rowOff>131618</xdr:rowOff>
    </xdr:from>
    <xdr:to>
      <xdr:col>22</xdr:col>
      <xdr:colOff>43568</xdr:colOff>
      <xdr:row>43</xdr:row>
      <xdr:rowOff>45027</xdr:rowOff>
    </xdr:to>
    <xdr:sp macro="" textlink="">
      <xdr:nvSpPr>
        <xdr:cNvPr id="4" name="Rectangle: Rounded Corners 3">
          <a:extLst>
            <a:ext uri="{FF2B5EF4-FFF2-40B4-BE49-F238E27FC236}">
              <a16:creationId xmlns:a16="http://schemas.microsoft.com/office/drawing/2014/main" id="{6DD86E13-A352-4937-B2E7-2A78679E11D4}"/>
            </a:ext>
          </a:extLst>
        </xdr:cNvPr>
        <xdr:cNvSpPr/>
      </xdr:nvSpPr>
      <xdr:spPr>
        <a:xfrm>
          <a:off x="7053695" y="4513118"/>
          <a:ext cx="6401073" cy="3875809"/>
        </a:xfrm>
        <a:prstGeom prst="roundRect">
          <a:avLst>
            <a:gd name="adj" fmla="val 521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11</xdr:col>
      <xdr:colOff>338320</xdr:colOff>
      <xdr:row>44</xdr:row>
      <xdr:rowOff>8160</xdr:rowOff>
    </xdr:from>
    <xdr:to>
      <xdr:col>22</xdr:col>
      <xdr:colOff>75357</xdr:colOff>
      <xdr:row>64</xdr:row>
      <xdr:rowOff>148936</xdr:rowOff>
    </xdr:to>
    <xdr:sp macro="" textlink="">
      <xdr:nvSpPr>
        <xdr:cNvPr id="5" name="Rectangle: Rounded Corners 4">
          <a:extLst>
            <a:ext uri="{FF2B5EF4-FFF2-40B4-BE49-F238E27FC236}">
              <a16:creationId xmlns:a16="http://schemas.microsoft.com/office/drawing/2014/main" id="{6704539A-19D2-4C89-83FE-FD408E11CC1A}"/>
            </a:ext>
          </a:extLst>
        </xdr:cNvPr>
        <xdr:cNvSpPr/>
      </xdr:nvSpPr>
      <xdr:spPr>
        <a:xfrm>
          <a:off x="7043920" y="8542560"/>
          <a:ext cx="6442637" cy="3950776"/>
        </a:xfrm>
        <a:prstGeom prst="roundRect">
          <a:avLst>
            <a:gd name="adj" fmla="val 645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32</xdr:col>
      <xdr:colOff>573232</xdr:colOff>
      <xdr:row>44</xdr:row>
      <xdr:rowOff>131618</xdr:rowOff>
    </xdr:from>
    <xdr:to>
      <xdr:col>43</xdr:col>
      <xdr:colOff>313732</xdr:colOff>
      <xdr:row>64</xdr:row>
      <xdr:rowOff>170999</xdr:rowOff>
    </xdr:to>
    <xdr:sp macro="" textlink="">
      <xdr:nvSpPr>
        <xdr:cNvPr id="9" name="Rectangle: Rounded Corners 8">
          <a:extLst>
            <a:ext uri="{FF2B5EF4-FFF2-40B4-BE49-F238E27FC236}">
              <a16:creationId xmlns:a16="http://schemas.microsoft.com/office/drawing/2014/main" id="{1D3A3F4F-813A-433C-8971-6981371C8DD2}"/>
            </a:ext>
          </a:extLst>
        </xdr:cNvPr>
        <xdr:cNvSpPr/>
      </xdr:nvSpPr>
      <xdr:spPr>
        <a:xfrm>
          <a:off x="20080432" y="8666018"/>
          <a:ext cx="6446100" cy="3849381"/>
        </a:xfrm>
        <a:prstGeom prst="roundRect">
          <a:avLst>
            <a:gd name="adj" fmla="val 502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32</xdr:col>
      <xdr:colOff>532039</xdr:colOff>
      <xdr:row>24</xdr:row>
      <xdr:rowOff>7049</xdr:rowOff>
    </xdr:from>
    <xdr:to>
      <xdr:col>43</xdr:col>
      <xdr:colOff>382733</xdr:colOff>
      <xdr:row>42</xdr:row>
      <xdr:rowOff>178049</xdr:rowOff>
    </xdr:to>
    <xdr:sp macro="" textlink="">
      <xdr:nvSpPr>
        <xdr:cNvPr id="10" name="Rectangle: Rounded Corners 9">
          <a:extLst>
            <a:ext uri="{FF2B5EF4-FFF2-40B4-BE49-F238E27FC236}">
              <a16:creationId xmlns:a16="http://schemas.microsoft.com/office/drawing/2014/main" id="{5C039C03-7534-475F-8485-4FD8AEC50089}"/>
            </a:ext>
          </a:extLst>
        </xdr:cNvPr>
        <xdr:cNvSpPr/>
      </xdr:nvSpPr>
      <xdr:spPr>
        <a:xfrm>
          <a:off x="20039239" y="4579049"/>
          <a:ext cx="6556294" cy="3752400"/>
        </a:xfrm>
        <a:prstGeom prst="roundRect">
          <a:avLst>
            <a:gd name="adj" fmla="val 555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11</xdr:col>
      <xdr:colOff>348096</xdr:colOff>
      <xdr:row>16</xdr:row>
      <xdr:rowOff>183573</xdr:rowOff>
    </xdr:from>
    <xdr:to>
      <xdr:col>18</xdr:col>
      <xdr:colOff>452006</xdr:colOff>
      <xdr:row>23</xdr:row>
      <xdr:rowOff>58883</xdr:rowOff>
    </xdr:to>
    <xdr:sp macro="" textlink="">
      <xdr:nvSpPr>
        <xdr:cNvPr id="11" name="Rectangle: Rounded Corners 10">
          <a:extLst>
            <a:ext uri="{FF2B5EF4-FFF2-40B4-BE49-F238E27FC236}">
              <a16:creationId xmlns:a16="http://schemas.microsoft.com/office/drawing/2014/main" id="{038A6B2E-F6C6-4F56-ACB0-4320D4DBEB60}"/>
            </a:ext>
          </a:extLst>
        </xdr:cNvPr>
        <xdr:cNvSpPr/>
      </xdr:nvSpPr>
      <xdr:spPr>
        <a:xfrm>
          <a:off x="7053696" y="3231573"/>
          <a:ext cx="4371110" cy="1208810"/>
        </a:xfrm>
        <a:prstGeom prst="roundRect">
          <a:avLst>
            <a:gd name="adj" fmla="val 110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22</xdr:col>
      <xdr:colOff>136814</xdr:colOff>
      <xdr:row>44</xdr:row>
      <xdr:rowOff>96982</xdr:rowOff>
    </xdr:from>
    <xdr:to>
      <xdr:col>32</xdr:col>
      <xdr:colOff>486914</xdr:colOff>
      <xdr:row>64</xdr:row>
      <xdr:rowOff>164072</xdr:rowOff>
    </xdr:to>
    <xdr:sp macro="" textlink="">
      <xdr:nvSpPr>
        <xdr:cNvPr id="12" name="Rectangle: Rounded Corners 11">
          <a:extLst>
            <a:ext uri="{FF2B5EF4-FFF2-40B4-BE49-F238E27FC236}">
              <a16:creationId xmlns:a16="http://schemas.microsoft.com/office/drawing/2014/main" id="{E30C1C1E-478A-4E57-9528-09A4594B2043}"/>
            </a:ext>
          </a:extLst>
        </xdr:cNvPr>
        <xdr:cNvSpPr/>
      </xdr:nvSpPr>
      <xdr:spPr>
        <a:xfrm>
          <a:off x="13548014" y="8631382"/>
          <a:ext cx="6446100" cy="3877090"/>
        </a:xfrm>
        <a:prstGeom prst="roundRect">
          <a:avLst>
            <a:gd name="adj" fmla="val 400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18</xdr:col>
      <xdr:colOff>563707</xdr:colOff>
      <xdr:row>16</xdr:row>
      <xdr:rowOff>183573</xdr:rowOff>
    </xdr:from>
    <xdr:to>
      <xdr:col>24</xdr:col>
      <xdr:colOff>463264</xdr:colOff>
      <xdr:row>23</xdr:row>
      <xdr:rowOff>41565</xdr:rowOff>
    </xdr:to>
    <xdr:sp macro="" textlink="">
      <xdr:nvSpPr>
        <xdr:cNvPr id="15" name="Rectangle: Rounded Corners 14">
          <a:extLst>
            <a:ext uri="{FF2B5EF4-FFF2-40B4-BE49-F238E27FC236}">
              <a16:creationId xmlns:a16="http://schemas.microsoft.com/office/drawing/2014/main" id="{B65FC277-BACA-47F3-B02D-DAD14B6C2E72}"/>
            </a:ext>
          </a:extLst>
        </xdr:cNvPr>
        <xdr:cNvSpPr/>
      </xdr:nvSpPr>
      <xdr:spPr>
        <a:xfrm>
          <a:off x="11536507" y="3231573"/>
          <a:ext cx="3557157" cy="1191492"/>
        </a:xfrm>
        <a:prstGeom prst="roundRect">
          <a:avLst>
            <a:gd name="adj" fmla="val 110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24</xdr:col>
      <xdr:colOff>574965</xdr:colOff>
      <xdr:row>16</xdr:row>
      <xdr:rowOff>183573</xdr:rowOff>
    </xdr:from>
    <xdr:to>
      <xdr:col>30</xdr:col>
      <xdr:colOff>557648</xdr:colOff>
      <xdr:row>23</xdr:row>
      <xdr:rowOff>45028</xdr:rowOff>
    </xdr:to>
    <xdr:sp macro="" textlink="">
      <xdr:nvSpPr>
        <xdr:cNvPr id="16" name="Rectangle: Rounded Corners 15">
          <a:extLst>
            <a:ext uri="{FF2B5EF4-FFF2-40B4-BE49-F238E27FC236}">
              <a16:creationId xmlns:a16="http://schemas.microsoft.com/office/drawing/2014/main" id="{EE8DF7A1-4D22-4013-BA09-03C580D4BB14}"/>
            </a:ext>
          </a:extLst>
        </xdr:cNvPr>
        <xdr:cNvSpPr/>
      </xdr:nvSpPr>
      <xdr:spPr>
        <a:xfrm>
          <a:off x="15205365" y="3231573"/>
          <a:ext cx="3640283" cy="1194955"/>
        </a:xfrm>
        <a:prstGeom prst="roundRect">
          <a:avLst>
            <a:gd name="adj" fmla="val 110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31</xdr:col>
      <xdr:colOff>59749</xdr:colOff>
      <xdr:row>16</xdr:row>
      <xdr:rowOff>183573</xdr:rowOff>
    </xdr:from>
    <xdr:to>
      <xdr:col>37</xdr:col>
      <xdr:colOff>236394</xdr:colOff>
      <xdr:row>23</xdr:row>
      <xdr:rowOff>62346</xdr:rowOff>
    </xdr:to>
    <xdr:sp macro="" textlink="">
      <xdr:nvSpPr>
        <xdr:cNvPr id="17" name="Rectangle: Rounded Corners 16">
          <a:extLst>
            <a:ext uri="{FF2B5EF4-FFF2-40B4-BE49-F238E27FC236}">
              <a16:creationId xmlns:a16="http://schemas.microsoft.com/office/drawing/2014/main" id="{D4E19496-1FA6-4D24-81A5-62E248C8CC66}"/>
            </a:ext>
          </a:extLst>
        </xdr:cNvPr>
        <xdr:cNvSpPr/>
      </xdr:nvSpPr>
      <xdr:spPr>
        <a:xfrm>
          <a:off x="18957349" y="3231573"/>
          <a:ext cx="3834245" cy="1212273"/>
        </a:xfrm>
        <a:prstGeom prst="roundRect">
          <a:avLst>
            <a:gd name="adj" fmla="val 110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37</xdr:col>
      <xdr:colOff>348096</xdr:colOff>
      <xdr:row>16</xdr:row>
      <xdr:rowOff>183573</xdr:rowOff>
    </xdr:from>
    <xdr:to>
      <xdr:col>43</xdr:col>
      <xdr:colOff>365413</xdr:colOff>
      <xdr:row>23</xdr:row>
      <xdr:rowOff>27710</xdr:rowOff>
    </xdr:to>
    <xdr:sp macro="" textlink="">
      <xdr:nvSpPr>
        <xdr:cNvPr id="18" name="Rectangle: Rounded Corners 17">
          <a:extLst>
            <a:ext uri="{FF2B5EF4-FFF2-40B4-BE49-F238E27FC236}">
              <a16:creationId xmlns:a16="http://schemas.microsoft.com/office/drawing/2014/main" id="{B8A4C29E-BDF0-4045-A587-E572A1F91911}"/>
            </a:ext>
          </a:extLst>
        </xdr:cNvPr>
        <xdr:cNvSpPr/>
      </xdr:nvSpPr>
      <xdr:spPr>
        <a:xfrm>
          <a:off x="22903296" y="3231573"/>
          <a:ext cx="3674917" cy="1177637"/>
        </a:xfrm>
        <a:prstGeom prst="roundRect">
          <a:avLst>
            <a:gd name="adj" fmla="val 110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11</xdr:col>
      <xdr:colOff>469322</xdr:colOff>
      <xdr:row>44</xdr:row>
      <xdr:rowOff>96982</xdr:rowOff>
    </xdr:from>
    <xdr:to>
      <xdr:col>21</xdr:col>
      <xdr:colOff>607868</xdr:colOff>
      <xdr:row>62</xdr:row>
      <xdr:rowOff>45028</xdr:rowOff>
    </xdr:to>
    <xdr:graphicFrame macro="">
      <xdr:nvGraphicFramePr>
        <xdr:cNvPr id="13" name="Chart 12">
          <a:extLst>
            <a:ext uri="{FF2B5EF4-FFF2-40B4-BE49-F238E27FC236}">
              <a16:creationId xmlns:a16="http://schemas.microsoft.com/office/drawing/2014/main" id="{6E88141A-3720-40AF-A328-D3401E2F1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289631</xdr:colOff>
      <xdr:row>45</xdr:row>
      <xdr:rowOff>10391</xdr:rowOff>
    </xdr:from>
    <xdr:to>
      <xdr:col>43</xdr:col>
      <xdr:colOff>382731</xdr:colOff>
      <xdr:row>64</xdr:row>
      <xdr:rowOff>62345</xdr:rowOff>
    </xdr:to>
    <xdr:graphicFrame macro="">
      <xdr:nvGraphicFramePr>
        <xdr:cNvPr id="20" name="Chart 19">
          <a:extLst>
            <a:ext uri="{FF2B5EF4-FFF2-40B4-BE49-F238E27FC236}">
              <a16:creationId xmlns:a16="http://schemas.microsoft.com/office/drawing/2014/main" id="{FB61F3A5-AFEE-4553-B9A8-ACC6E7373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348094</xdr:colOff>
      <xdr:row>24</xdr:row>
      <xdr:rowOff>62344</xdr:rowOff>
    </xdr:from>
    <xdr:to>
      <xdr:col>43</xdr:col>
      <xdr:colOff>102177</xdr:colOff>
      <xdr:row>42</xdr:row>
      <xdr:rowOff>10389</xdr:rowOff>
    </xdr:to>
    <xdr:graphicFrame macro="">
      <xdr:nvGraphicFramePr>
        <xdr:cNvPr id="21" name="Chart 20">
          <a:extLst>
            <a:ext uri="{FF2B5EF4-FFF2-40B4-BE49-F238E27FC236}">
              <a16:creationId xmlns:a16="http://schemas.microsoft.com/office/drawing/2014/main" id="{104741EC-9760-4644-AC21-76DFBB8AF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330776</xdr:colOff>
      <xdr:row>24</xdr:row>
      <xdr:rowOff>79663</xdr:rowOff>
    </xdr:from>
    <xdr:to>
      <xdr:col>32</xdr:col>
      <xdr:colOff>348095</xdr:colOff>
      <xdr:row>42</xdr:row>
      <xdr:rowOff>166254</xdr:rowOff>
    </xdr:to>
    <xdr:graphicFrame macro="">
      <xdr:nvGraphicFramePr>
        <xdr:cNvPr id="22" name="Chart 21">
          <a:extLst>
            <a:ext uri="{FF2B5EF4-FFF2-40B4-BE49-F238E27FC236}">
              <a16:creationId xmlns:a16="http://schemas.microsoft.com/office/drawing/2014/main" id="{1B622F53-DCAF-4DB4-B583-FBC686E58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165880</xdr:colOff>
      <xdr:row>17</xdr:row>
      <xdr:rowOff>96982</xdr:rowOff>
    </xdr:from>
    <xdr:to>
      <xdr:col>18</xdr:col>
      <xdr:colOff>32904</xdr:colOff>
      <xdr:row>19</xdr:row>
      <xdr:rowOff>166255</xdr:rowOff>
    </xdr:to>
    <xdr:sp macro="" textlink="">
      <xdr:nvSpPr>
        <xdr:cNvPr id="24" name="TextBox 23">
          <a:extLst>
            <a:ext uri="{FF2B5EF4-FFF2-40B4-BE49-F238E27FC236}">
              <a16:creationId xmlns:a16="http://schemas.microsoft.com/office/drawing/2014/main" id="{70918A67-58EB-7A4B-A53B-F40582FBF0F6}"/>
            </a:ext>
          </a:extLst>
        </xdr:cNvPr>
        <xdr:cNvSpPr txBox="1"/>
      </xdr:nvSpPr>
      <xdr:spPr>
        <a:xfrm>
          <a:off x="8700280" y="3335482"/>
          <a:ext cx="2305424"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chemeClr val="tx2">
                  <a:lumMod val="50000"/>
                </a:schemeClr>
              </a:solidFill>
              <a:latin typeface="Algerian" panose="04020705040A02060702" pitchFamily="82" charset="0"/>
            </a:rPr>
            <a:t>TOTAL-SALES</a:t>
          </a:r>
        </a:p>
      </xdr:txBody>
    </xdr:sp>
    <xdr:clientData/>
  </xdr:twoCellAnchor>
  <xdr:twoCellAnchor>
    <xdr:from>
      <xdr:col>14</xdr:col>
      <xdr:colOff>276655</xdr:colOff>
      <xdr:row>19</xdr:row>
      <xdr:rowOff>148936</xdr:rowOff>
    </xdr:from>
    <xdr:to>
      <xdr:col>17</xdr:col>
      <xdr:colOff>555913</xdr:colOff>
      <xdr:row>22</xdr:row>
      <xdr:rowOff>128155</xdr:rowOff>
    </xdr:to>
    <xdr:sp macro="" textlink="">
      <xdr:nvSpPr>
        <xdr:cNvPr id="25" name="TextBox 24">
          <a:extLst>
            <a:ext uri="{FF2B5EF4-FFF2-40B4-BE49-F238E27FC236}">
              <a16:creationId xmlns:a16="http://schemas.microsoft.com/office/drawing/2014/main" id="{48CA7C0E-206D-466E-986D-5B1AD0D41C25}"/>
            </a:ext>
          </a:extLst>
        </xdr:cNvPr>
        <xdr:cNvSpPr txBox="1"/>
      </xdr:nvSpPr>
      <xdr:spPr>
        <a:xfrm>
          <a:off x="8811055" y="3768436"/>
          <a:ext cx="2108058" cy="550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i="0" u="none" strike="noStrike">
              <a:solidFill>
                <a:schemeClr val="tx2">
                  <a:lumMod val="50000"/>
                </a:schemeClr>
              </a:solidFill>
              <a:latin typeface="Calibri"/>
              <a:ea typeface="+mn-ea"/>
              <a:cs typeface="Calibri"/>
            </a:rPr>
            <a:t>₦4.27M</a:t>
          </a:r>
        </a:p>
      </xdr:txBody>
    </xdr:sp>
    <xdr:clientData/>
  </xdr:twoCellAnchor>
  <xdr:twoCellAnchor>
    <xdr:from>
      <xdr:col>26</xdr:col>
      <xdr:colOff>417367</xdr:colOff>
      <xdr:row>17</xdr:row>
      <xdr:rowOff>142009</xdr:rowOff>
    </xdr:from>
    <xdr:to>
      <xdr:col>30</xdr:col>
      <xdr:colOff>330776</xdr:colOff>
      <xdr:row>20</xdr:row>
      <xdr:rowOff>20782</xdr:rowOff>
    </xdr:to>
    <xdr:sp macro="" textlink="">
      <xdr:nvSpPr>
        <xdr:cNvPr id="26" name="TextBox 25">
          <a:extLst>
            <a:ext uri="{FF2B5EF4-FFF2-40B4-BE49-F238E27FC236}">
              <a16:creationId xmlns:a16="http://schemas.microsoft.com/office/drawing/2014/main" id="{EE2E1635-1C8B-4DBB-9C50-1D73E96DF269}"/>
            </a:ext>
          </a:extLst>
        </xdr:cNvPr>
        <xdr:cNvSpPr txBox="1"/>
      </xdr:nvSpPr>
      <xdr:spPr>
        <a:xfrm>
          <a:off x="16266967" y="3380509"/>
          <a:ext cx="2351809"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chemeClr val="tx2">
                  <a:lumMod val="50000"/>
                </a:schemeClr>
              </a:solidFill>
              <a:latin typeface="Algerian" panose="04020705040A02060702" pitchFamily="82" charset="0"/>
            </a:rPr>
            <a:t>SOUTH-SALES</a:t>
          </a:r>
        </a:p>
      </xdr:txBody>
    </xdr:sp>
    <xdr:clientData/>
  </xdr:twoCellAnchor>
  <xdr:twoCellAnchor>
    <xdr:from>
      <xdr:col>20</xdr:col>
      <xdr:colOff>521277</xdr:colOff>
      <xdr:row>20</xdr:row>
      <xdr:rowOff>17319</xdr:rowOff>
    </xdr:from>
    <xdr:to>
      <xdr:col>24</xdr:col>
      <xdr:colOff>102177</xdr:colOff>
      <xdr:row>22</xdr:row>
      <xdr:rowOff>86592</xdr:rowOff>
    </xdr:to>
    <xdr:sp macro="" textlink="'pivot table'!C21">
      <xdr:nvSpPr>
        <xdr:cNvPr id="27" name="TextBox 26">
          <a:extLst>
            <a:ext uri="{FF2B5EF4-FFF2-40B4-BE49-F238E27FC236}">
              <a16:creationId xmlns:a16="http://schemas.microsoft.com/office/drawing/2014/main" id="{91C242FC-F204-4AC7-942B-86776E07DB50}"/>
            </a:ext>
          </a:extLst>
        </xdr:cNvPr>
        <xdr:cNvSpPr txBox="1"/>
      </xdr:nvSpPr>
      <xdr:spPr>
        <a:xfrm>
          <a:off x="12713277" y="3827319"/>
          <a:ext cx="2019300"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817A2F-53C4-4E48-8675-DB5541EC335C}" type="TxLink">
            <a:rPr lang="en-US" sz="2400" b="1" i="0" u="none" strike="noStrike">
              <a:solidFill>
                <a:schemeClr val="tx2">
                  <a:lumMod val="50000"/>
                </a:schemeClr>
              </a:solidFill>
              <a:latin typeface="Calibri"/>
              <a:cs typeface="Calibri"/>
            </a:rPr>
            <a:pPr algn="ctr"/>
            <a:t>₦94.94K</a:t>
          </a:fld>
          <a:endParaRPr lang="en-US" sz="2400" b="1">
            <a:solidFill>
              <a:schemeClr val="tx2">
                <a:lumMod val="50000"/>
              </a:schemeClr>
            </a:solidFill>
          </a:endParaRPr>
        </a:p>
      </xdr:txBody>
    </xdr:sp>
    <xdr:clientData/>
  </xdr:twoCellAnchor>
  <xdr:twoCellAnchor>
    <xdr:from>
      <xdr:col>20</xdr:col>
      <xdr:colOff>209550</xdr:colOff>
      <xdr:row>17</xdr:row>
      <xdr:rowOff>169719</xdr:rowOff>
    </xdr:from>
    <xdr:to>
      <xdr:col>24</xdr:col>
      <xdr:colOff>244186</xdr:colOff>
      <xdr:row>20</xdr:row>
      <xdr:rowOff>48492</xdr:rowOff>
    </xdr:to>
    <xdr:sp macro="" textlink="">
      <xdr:nvSpPr>
        <xdr:cNvPr id="28" name="TextBox 27">
          <a:extLst>
            <a:ext uri="{FF2B5EF4-FFF2-40B4-BE49-F238E27FC236}">
              <a16:creationId xmlns:a16="http://schemas.microsoft.com/office/drawing/2014/main" id="{03585B92-DF6D-4D5B-874C-8253B607E7E5}"/>
            </a:ext>
          </a:extLst>
        </xdr:cNvPr>
        <xdr:cNvSpPr txBox="1"/>
      </xdr:nvSpPr>
      <xdr:spPr>
        <a:xfrm>
          <a:off x="12401550" y="3408219"/>
          <a:ext cx="2473036"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chemeClr val="tx2">
                  <a:lumMod val="50000"/>
                </a:schemeClr>
              </a:solidFill>
              <a:latin typeface="Algerian" panose="04020705040A02060702" pitchFamily="82" charset="0"/>
            </a:rPr>
            <a:t>NORTH-SALES</a:t>
          </a:r>
        </a:p>
      </xdr:txBody>
    </xdr:sp>
    <xdr:clientData/>
  </xdr:twoCellAnchor>
  <xdr:twoCellAnchor>
    <xdr:from>
      <xdr:col>26</xdr:col>
      <xdr:colOff>417367</xdr:colOff>
      <xdr:row>20</xdr:row>
      <xdr:rowOff>10391</xdr:rowOff>
    </xdr:from>
    <xdr:to>
      <xdr:col>30</xdr:col>
      <xdr:colOff>136813</xdr:colOff>
      <xdr:row>22</xdr:row>
      <xdr:rowOff>155864</xdr:rowOff>
    </xdr:to>
    <xdr:sp macro="" textlink="'pivot table'!C22">
      <xdr:nvSpPr>
        <xdr:cNvPr id="29" name="TextBox 28">
          <a:extLst>
            <a:ext uri="{FF2B5EF4-FFF2-40B4-BE49-F238E27FC236}">
              <a16:creationId xmlns:a16="http://schemas.microsoft.com/office/drawing/2014/main" id="{56F95F6A-3B0D-4B05-A143-A13405FA8E65}"/>
            </a:ext>
          </a:extLst>
        </xdr:cNvPr>
        <xdr:cNvSpPr txBox="1"/>
      </xdr:nvSpPr>
      <xdr:spPr>
        <a:xfrm>
          <a:off x="16266967" y="3820391"/>
          <a:ext cx="2157846" cy="52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341FB2-9A0F-41A8-ADDE-45250C5C27B3}" type="TxLink">
            <a:rPr lang="en-US" sz="2400" b="1" i="0" u="none" strike="noStrike">
              <a:solidFill>
                <a:schemeClr val="tx2">
                  <a:lumMod val="50000"/>
                </a:schemeClr>
              </a:solidFill>
              <a:latin typeface="Calibri"/>
              <a:cs typeface="Calibri"/>
            </a:rPr>
            <a:pPr algn="ctr"/>
            <a:t>₦126.55K</a:t>
          </a:fld>
          <a:endParaRPr lang="en-US" sz="2400" b="1">
            <a:solidFill>
              <a:schemeClr val="tx2">
                <a:lumMod val="50000"/>
              </a:schemeClr>
            </a:solidFill>
          </a:endParaRPr>
        </a:p>
      </xdr:txBody>
    </xdr:sp>
    <xdr:clientData/>
  </xdr:twoCellAnchor>
  <xdr:twoCellAnchor>
    <xdr:from>
      <xdr:col>33</xdr:col>
      <xdr:colOff>15588</xdr:colOff>
      <xdr:row>17</xdr:row>
      <xdr:rowOff>103909</xdr:rowOff>
    </xdr:from>
    <xdr:to>
      <xdr:col>37</xdr:col>
      <xdr:colOff>15586</xdr:colOff>
      <xdr:row>19</xdr:row>
      <xdr:rowOff>173182</xdr:rowOff>
    </xdr:to>
    <xdr:sp macro="" textlink="">
      <xdr:nvSpPr>
        <xdr:cNvPr id="30" name="TextBox 29">
          <a:extLst>
            <a:ext uri="{FF2B5EF4-FFF2-40B4-BE49-F238E27FC236}">
              <a16:creationId xmlns:a16="http://schemas.microsoft.com/office/drawing/2014/main" id="{2C319B4F-04A0-440F-A44F-AEC5980A5F0C}"/>
            </a:ext>
          </a:extLst>
        </xdr:cNvPr>
        <xdr:cNvSpPr txBox="1"/>
      </xdr:nvSpPr>
      <xdr:spPr>
        <a:xfrm>
          <a:off x="20132388" y="3342409"/>
          <a:ext cx="2438398"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chemeClr val="tx2">
                  <a:lumMod val="50000"/>
                </a:schemeClr>
              </a:solidFill>
              <a:latin typeface="Algerian" panose="04020705040A02060702" pitchFamily="82" charset="0"/>
            </a:rPr>
            <a:t>EAST-SALES</a:t>
          </a:r>
        </a:p>
      </xdr:txBody>
    </xdr:sp>
    <xdr:clientData/>
  </xdr:twoCellAnchor>
  <xdr:twoCellAnchor>
    <xdr:from>
      <xdr:col>33</xdr:col>
      <xdr:colOff>188770</xdr:colOff>
      <xdr:row>19</xdr:row>
      <xdr:rowOff>187037</xdr:rowOff>
    </xdr:from>
    <xdr:to>
      <xdr:col>36</xdr:col>
      <xdr:colOff>417368</xdr:colOff>
      <xdr:row>22</xdr:row>
      <xdr:rowOff>65810</xdr:rowOff>
    </xdr:to>
    <xdr:sp macro="" textlink="'pivot table'!C20">
      <xdr:nvSpPr>
        <xdr:cNvPr id="31" name="TextBox 30">
          <a:extLst>
            <a:ext uri="{FF2B5EF4-FFF2-40B4-BE49-F238E27FC236}">
              <a16:creationId xmlns:a16="http://schemas.microsoft.com/office/drawing/2014/main" id="{F2B6A7F2-3A88-403C-B3EF-24EB80C3B5F7}"/>
            </a:ext>
          </a:extLst>
        </xdr:cNvPr>
        <xdr:cNvSpPr txBox="1"/>
      </xdr:nvSpPr>
      <xdr:spPr>
        <a:xfrm>
          <a:off x="20305570" y="3806537"/>
          <a:ext cx="2057398"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C826CA-5F88-4C72-9C31-17D054983304}" type="TxLink">
            <a:rPr lang="en-US" sz="2400" b="1" i="0" u="none" strike="noStrike">
              <a:solidFill>
                <a:schemeClr val="tx2">
                  <a:lumMod val="50000"/>
                </a:schemeClr>
              </a:solidFill>
              <a:latin typeface="Calibri"/>
              <a:cs typeface="Calibri"/>
            </a:rPr>
            <a:pPr algn="ctr"/>
            <a:t>₦181.06K</a:t>
          </a:fld>
          <a:endParaRPr lang="en-US" sz="2400" b="1">
            <a:solidFill>
              <a:schemeClr val="tx2">
                <a:lumMod val="50000"/>
              </a:schemeClr>
            </a:solidFill>
          </a:endParaRPr>
        </a:p>
      </xdr:txBody>
    </xdr:sp>
    <xdr:clientData/>
  </xdr:twoCellAnchor>
  <xdr:twoCellAnchor>
    <xdr:from>
      <xdr:col>39</xdr:col>
      <xdr:colOff>313459</xdr:colOff>
      <xdr:row>17</xdr:row>
      <xdr:rowOff>183572</xdr:rowOff>
    </xdr:from>
    <xdr:to>
      <xdr:col>43</xdr:col>
      <xdr:colOff>188768</xdr:colOff>
      <xdr:row>20</xdr:row>
      <xdr:rowOff>62345</xdr:rowOff>
    </xdr:to>
    <xdr:sp macro="" textlink="">
      <xdr:nvSpPr>
        <xdr:cNvPr id="32" name="TextBox 31">
          <a:extLst>
            <a:ext uri="{FF2B5EF4-FFF2-40B4-BE49-F238E27FC236}">
              <a16:creationId xmlns:a16="http://schemas.microsoft.com/office/drawing/2014/main" id="{12A8BAF7-6E88-454D-8EAC-84F0DB4887C8}"/>
            </a:ext>
          </a:extLst>
        </xdr:cNvPr>
        <xdr:cNvSpPr txBox="1"/>
      </xdr:nvSpPr>
      <xdr:spPr>
        <a:xfrm>
          <a:off x="24087859" y="3422072"/>
          <a:ext cx="2313709"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chemeClr val="tx2">
                  <a:lumMod val="50000"/>
                </a:schemeClr>
              </a:solidFill>
              <a:latin typeface="Algerian" panose="04020705040A02060702" pitchFamily="82" charset="0"/>
            </a:rPr>
            <a:t>WEST-SALES</a:t>
          </a:r>
        </a:p>
      </xdr:txBody>
    </xdr:sp>
    <xdr:clientData/>
  </xdr:twoCellAnchor>
  <xdr:twoCellAnchor>
    <xdr:from>
      <xdr:col>39</xdr:col>
      <xdr:colOff>452003</xdr:colOff>
      <xdr:row>20</xdr:row>
      <xdr:rowOff>76200</xdr:rowOff>
    </xdr:from>
    <xdr:to>
      <xdr:col>42</xdr:col>
      <xdr:colOff>573232</xdr:colOff>
      <xdr:row>22</xdr:row>
      <xdr:rowOff>145473</xdr:rowOff>
    </xdr:to>
    <xdr:sp macro="" textlink="'pivot table'!C23">
      <xdr:nvSpPr>
        <xdr:cNvPr id="33" name="TextBox 32">
          <a:extLst>
            <a:ext uri="{FF2B5EF4-FFF2-40B4-BE49-F238E27FC236}">
              <a16:creationId xmlns:a16="http://schemas.microsoft.com/office/drawing/2014/main" id="{97282612-0D5F-42C4-A441-6FF2DE3C4452}"/>
            </a:ext>
          </a:extLst>
        </xdr:cNvPr>
        <xdr:cNvSpPr txBox="1"/>
      </xdr:nvSpPr>
      <xdr:spPr>
        <a:xfrm>
          <a:off x="24226403" y="3886200"/>
          <a:ext cx="1950029" cy="45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247DF0-CA5B-4960-B3CC-1B97B5E86C81}" type="TxLink">
            <a:rPr lang="en-US" sz="2400" b="1" i="0" u="none" strike="noStrike">
              <a:solidFill>
                <a:schemeClr val="tx2">
                  <a:lumMod val="50000"/>
                </a:schemeClr>
              </a:solidFill>
              <a:latin typeface="Calibri"/>
              <a:cs typeface="Calibri"/>
            </a:rPr>
            <a:pPr algn="ctr"/>
            <a:t>₦71.90K</a:t>
          </a:fld>
          <a:endParaRPr lang="en-US" sz="2400" b="1">
            <a:solidFill>
              <a:schemeClr val="tx2">
                <a:lumMod val="50000"/>
              </a:schemeClr>
            </a:solidFill>
          </a:endParaRPr>
        </a:p>
      </xdr:txBody>
    </xdr:sp>
    <xdr:clientData/>
  </xdr:twoCellAnchor>
  <xdr:twoCellAnchor>
    <xdr:from>
      <xdr:col>12</xdr:col>
      <xdr:colOff>119495</xdr:colOff>
      <xdr:row>9</xdr:row>
      <xdr:rowOff>166254</xdr:rowOff>
    </xdr:from>
    <xdr:to>
      <xdr:col>31</xdr:col>
      <xdr:colOff>171450</xdr:colOff>
      <xdr:row>14</xdr:row>
      <xdr:rowOff>166254</xdr:rowOff>
    </xdr:to>
    <xdr:sp macro="" textlink="">
      <xdr:nvSpPr>
        <xdr:cNvPr id="34" name="TextBox 33">
          <a:extLst>
            <a:ext uri="{FF2B5EF4-FFF2-40B4-BE49-F238E27FC236}">
              <a16:creationId xmlns:a16="http://schemas.microsoft.com/office/drawing/2014/main" id="{37D2CA1B-138D-4670-938B-D1836BA89D1D}"/>
            </a:ext>
          </a:extLst>
        </xdr:cNvPr>
        <xdr:cNvSpPr txBox="1"/>
      </xdr:nvSpPr>
      <xdr:spPr>
        <a:xfrm>
          <a:off x="7434695" y="1880754"/>
          <a:ext cx="116343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i="0" u="none" strike="noStrike">
              <a:solidFill>
                <a:schemeClr val="bg1">
                  <a:lumMod val="95000"/>
                </a:schemeClr>
              </a:solidFill>
              <a:latin typeface="Calibri"/>
              <a:cs typeface="Calibri"/>
            </a:rPr>
            <a:t>SALES</a:t>
          </a:r>
          <a:r>
            <a:rPr lang="en-US" sz="4400" b="1" i="0" u="none" strike="noStrike" baseline="0">
              <a:solidFill>
                <a:schemeClr val="bg1">
                  <a:lumMod val="95000"/>
                </a:schemeClr>
              </a:solidFill>
              <a:latin typeface="Calibri"/>
              <a:cs typeface="Calibri"/>
            </a:rPr>
            <a:t> PERFORMANCE DASHBOARD</a:t>
          </a:r>
          <a:endParaRPr lang="en-US" sz="4400" b="1" i="0" u="none" strike="noStrike">
            <a:solidFill>
              <a:schemeClr val="bg1">
                <a:lumMod val="95000"/>
              </a:schemeClr>
            </a:solidFill>
            <a:latin typeface="Calibri"/>
            <a:cs typeface="Calibri"/>
          </a:endParaRPr>
        </a:p>
      </xdr:txBody>
    </xdr:sp>
    <xdr:clientData/>
  </xdr:twoCellAnchor>
  <xdr:twoCellAnchor editAs="oneCell">
    <xdr:from>
      <xdr:col>38</xdr:col>
      <xdr:colOff>434686</xdr:colOff>
      <xdr:row>10</xdr:row>
      <xdr:rowOff>10388</xdr:rowOff>
    </xdr:from>
    <xdr:to>
      <xdr:col>40</xdr:col>
      <xdr:colOff>188770</xdr:colOff>
      <xdr:row>15</xdr:row>
      <xdr:rowOff>27708</xdr:rowOff>
    </xdr:to>
    <xdr:pic>
      <xdr:nvPicPr>
        <xdr:cNvPr id="36" name="Picture 35">
          <a:extLst>
            <a:ext uri="{FF2B5EF4-FFF2-40B4-BE49-F238E27FC236}">
              <a16:creationId xmlns:a16="http://schemas.microsoft.com/office/drawing/2014/main" id="{EDEF09C8-CAEB-54E4-A3FE-1E00462E5188}"/>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23599486" y="1915388"/>
          <a:ext cx="973284" cy="969820"/>
        </a:xfrm>
        <a:prstGeom prst="rect">
          <a:avLst/>
        </a:prstGeom>
      </xdr:spPr>
    </xdr:pic>
    <xdr:clientData/>
  </xdr:twoCellAnchor>
  <xdr:twoCellAnchor editAs="oneCell">
    <xdr:from>
      <xdr:col>37</xdr:col>
      <xdr:colOff>555913</xdr:colOff>
      <xdr:row>17</xdr:row>
      <xdr:rowOff>166253</xdr:rowOff>
    </xdr:from>
    <xdr:to>
      <xdr:col>39</xdr:col>
      <xdr:colOff>188768</xdr:colOff>
      <xdr:row>22</xdr:row>
      <xdr:rowOff>62345</xdr:rowOff>
    </xdr:to>
    <xdr:pic>
      <xdr:nvPicPr>
        <xdr:cNvPr id="40" name="Picture 39">
          <a:extLst>
            <a:ext uri="{FF2B5EF4-FFF2-40B4-BE49-F238E27FC236}">
              <a16:creationId xmlns:a16="http://schemas.microsoft.com/office/drawing/2014/main" id="{41110B95-EB53-34B5-303B-5336DEFCBCAB}"/>
            </a:ext>
          </a:extLst>
        </xdr:cNvPr>
        <xdr:cNvPicPr>
          <a:picLocks noChangeAspect="1"/>
        </xdr:cNvPicPr>
      </xdr:nvPicPr>
      <xdr:blipFill>
        <a:blip xmlns:r="http://schemas.openxmlformats.org/officeDocument/2006/relationships" r:embed="rId6" cstate="print">
          <a:biLevel thresh="25000"/>
          <a:extLst>
            <a:ext uri="{28A0092B-C50C-407E-A947-70E740481C1C}">
              <a14:useLocalDpi xmlns:a14="http://schemas.microsoft.com/office/drawing/2010/main" val="0"/>
            </a:ext>
          </a:extLst>
        </a:blip>
        <a:stretch>
          <a:fillRect/>
        </a:stretch>
      </xdr:blipFill>
      <xdr:spPr>
        <a:xfrm>
          <a:off x="23111113" y="3404753"/>
          <a:ext cx="852055" cy="848592"/>
        </a:xfrm>
        <a:prstGeom prst="rect">
          <a:avLst/>
        </a:prstGeom>
      </xdr:spPr>
    </xdr:pic>
    <xdr:clientData/>
  </xdr:twoCellAnchor>
  <xdr:twoCellAnchor editAs="oneCell">
    <xdr:from>
      <xdr:col>19</xdr:col>
      <xdr:colOff>67542</xdr:colOff>
      <xdr:row>18</xdr:row>
      <xdr:rowOff>27710</xdr:rowOff>
    </xdr:from>
    <xdr:to>
      <xdr:col>20</xdr:col>
      <xdr:colOff>296142</xdr:colOff>
      <xdr:row>22</xdr:row>
      <xdr:rowOff>96983</xdr:rowOff>
    </xdr:to>
    <xdr:pic>
      <xdr:nvPicPr>
        <xdr:cNvPr id="42" name="Picture 41">
          <a:extLst>
            <a:ext uri="{FF2B5EF4-FFF2-40B4-BE49-F238E27FC236}">
              <a16:creationId xmlns:a16="http://schemas.microsoft.com/office/drawing/2014/main" id="{B1BB2168-D08E-9235-7A81-A253ED1BE36C}"/>
            </a:ext>
          </a:extLst>
        </xdr:cNvPr>
        <xdr:cNvPicPr>
          <a:picLocks noChangeAspect="1"/>
        </xdr:cNvPicPr>
      </xdr:nvPicPr>
      <xdr:blipFill>
        <a:blip xmlns:r="http://schemas.openxmlformats.org/officeDocument/2006/relationships" r:embed="rId7"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11649942" y="3456710"/>
          <a:ext cx="838200" cy="831273"/>
        </a:xfrm>
        <a:prstGeom prst="rect">
          <a:avLst/>
        </a:prstGeom>
      </xdr:spPr>
    </xdr:pic>
    <xdr:clientData/>
  </xdr:twoCellAnchor>
  <xdr:twoCellAnchor editAs="oneCell">
    <xdr:from>
      <xdr:col>25</xdr:col>
      <xdr:colOff>67541</xdr:colOff>
      <xdr:row>17</xdr:row>
      <xdr:rowOff>183572</xdr:rowOff>
    </xdr:from>
    <xdr:to>
      <xdr:col>26</xdr:col>
      <xdr:colOff>434686</xdr:colOff>
      <xdr:row>23</xdr:row>
      <xdr:rowOff>10389</xdr:rowOff>
    </xdr:to>
    <xdr:pic>
      <xdr:nvPicPr>
        <xdr:cNvPr id="46" name="Picture 45">
          <a:extLst>
            <a:ext uri="{FF2B5EF4-FFF2-40B4-BE49-F238E27FC236}">
              <a16:creationId xmlns:a16="http://schemas.microsoft.com/office/drawing/2014/main" id="{B44084A0-741C-ACF5-9A67-B0A43382059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307541" y="3422072"/>
          <a:ext cx="976745" cy="969817"/>
        </a:xfrm>
        <a:prstGeom prst="rect">
          <a:avLst/>
        </a:prstGeom>
      </xdr:spPr>
    </xdr:pic>
    <xdr:clientData/>
  </xdr:twoCellAnchor>
  <xdr:twoCellAnchor editAs="oneCell">
    <xdr:from>
      <xdr:col>11</xdr:col>
      <xdr:colOff>607869</xdr:colOff>
      <xdr:row>17</xdr:row>
      <xdr:rowOff>79664</xdr:rowOff>
    </xdr:from>
    <xdr:to>
      <xdr:col>14</xdr:col>
      <xdr:colOff>50224</xdr:colOff>
      <xdr:row>22</xdr:row>
      <xdr:rowOff>96982</xdr:rowOff>
    </xdr:to>
    <xdr:pic>
      <xdr:nvPicPr>
        <xdr:cNvPr id="48" name="Picture 47">
          <a:extLst>
            <a:ext uri="{FF2B5EF4-FFF2-40B4-BE49-F238E27FC236}">
              <a16:creationId xmlns:a16="http://schemas.microsoft.com/office/drawing/2014/main" id="{89C3FD4D-F2BC-7CF2-B89D-1D7053064AC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313469" y="3318164"/>
          <a:ext cx="1271155" cy="969818"/>
        </a:xfrm>
        <a:prstGeom prst="rect">
          <a:avLst/>
        </a:prstGeom>
      </xdr:spPr>
    </xdr:pic>
    <xdr:clientData/>
  </xdr:twoCellAnchor>
  <xdr:twoCellAnchor editAs="oneCell">
    <xdr:from>
      <xdr:col>31</xdr:col>
      <xdr:colOff>154132</xdr:colOff>
      <xdr:row>18</xdr:row>
      <xdr:rowOff>10390</xdr:rowOff>
    </xdr:from>
    <xdr:to>
      <xdr:col>32</xdr:col>
      <xdr:colOff>417369</xdr:colOff>
      <xdr:row>22</xdr:row>
      <xdr:rowOff>114299</xdr:rowOff>
    </xdr:to>
    <xdr:pic>
      <xdr:nvPicPr>
        <xdr:cNvPr id="54" name="Picture 53">
          <a:extLst>
            <a:ext uri="{FF2B5EF4-FFF2-40B4-BE49-F238E27FC236}">
              <a16:creationId xmlns:a16="http://schemas.microsoft.com/office/drawing/2014/main" id="{2D058037-49EA-FB37-9C0D-598DB4620F8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051732" y="3439390"/>
          <a:ext cx="872837" cy="865909"/>
        </a:xfrm>
        <a:prstGeom prst="rect">
          <a:avLst/>
        </a:prstGeom>
      </xdr:spPr>
    </xdr:pic>
    <xdr:clientData/>
  </xdr:twoCellAnchor>
  <xdr:twoCellAnchor>
    <xdr:from>
      <xdr:col>11</xdr:col>
      <xdr:colOff>382732</xdr:colOff>
      <xdr:row>24</xdr:row>
      <xdr:rowOff>166253</xdr:rowOff>
    </xdr:from>
    <xdr:to>
      <xdr:col>21</xdr:col>
      <xdr:colOff>503960</xdr:colOff>
      <xdr:row>42</xdr:row>
      <xdr:rowOff>10391</xdr:rowOff>
    </xdr:to>
    <xdr:graphicFrame macro="">
      <xdr:nvGraphicFramePr>
        <xdr:cNvPr id="58" name="Chart 57">
          <a:extLst>
            <a:ext uri="{FF2B5EF4-FFF2-40B4-BE49-F238E27FC236}">
              <a16:creationId xmlns:a16="http://schemas.microsoft.com/office/drawing/2014/main" id="{38AD723E-D556-445B-BFA9-7492FF8F4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348095</xdr:colOff>
      <xdr:row>45</xdr:row>
      <xdr:rowOff>131618</xdr:rowOff>
    </xdr:from>
    <xdr:to>
      <xdr:col>32</xdr:col>
      <xdr:colOff>365413</xdr:colOff>
      <xdr:row>64</xdr:row>
      <xdr:rowOff>62345</xdr:rowOff>
    </xdr:to>
    <xdr:graphicFrame macro="">
      <xdr:nvGraphicFramePr>
        <xdr:cNvPr id="14" name="Chart 13">
          <a:extLst>
            <a:ext uri="{FF2B5EF4-FFF2-40B4-BE49-F238E27FC236}">
              <a16:creationId xmlns:a16="http://schemas.microsoft.com/office/drawing/2014/main" id="{CED4438D-BC15-4A48-A31C-83C0BE97D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50223</xdr:colOff>
      <xdr:row>9</xdr:row>
      <xdr:rowOff>45027</xdr:rowOff>
    </xdr:from>
    <xdr:to>
      <xdr:col>11</xdr:col>
      <xdr:colOff>50224</xdr:colOff>
      <xdr:row>16</xdr:row>
      <xdr:rowOff>10391</xdr:rowOff>
    </xdr:to>
    <xdr:pic>
      <xdr:nvPicPr>
        <xdr:cNvPr id="43" name="Picture 42">
          <a:extLst>
            <a:ext uri="{FF2B5EF4-FFF2-40B4-BE49-F238E27FC236}">
              <a16:creationId xmlns:a16="http://schemas.microsoft.com/office/drawing/2014/main" id="{DC8F6099-E407-403A-820F-1FBC9DE65499}"/>
            </a:ext>
          </a:extLst>
        </xdr:cNvPr>
        <xdr:cNvPicPr>
          <a:picLocks noChangeAspect="1"/>
        </xdr:cNvPicPr>
      </xdr:nvPicPr>
      <xdr:blipFill>
        <a:blip xmlns:r="http://schemas.openxmlformats.org/officeDocument/2006/relationships" r:embed="rId13"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4317423" y="1759527"/>
          <a:ext cx="2438401" cy="1298864"/>
        </a:xfrm>
        <a:prstGeom prst="rect">
          <a:avLst/>
        </a:prstGeom>
      </xdr:spPr>
    </xdr:pic>
    <xdr:clientData/>
  </xdr:twoCellAnchor>
  <xdr:twoCellAnchor editAs="oneCell">
    <xdr:from>
      <xdr:col>7</xdr:col>
      <xdr:colOff>93763</xdr:colOff>
      <xdr:row>39</xdr:row>
      <xdr:rowOff>129453</xdr:rowOff>
    </xdr:from>
    <xdr:to>
      <xdr:col>11</xdr:col>
      <xdr:colOff>123826</xdr:colOff>
      <xdr:row>60</xdr:row>
      <xdr:rowOff>77498</xdr:rowOff>
    </xdr:to>
    <mc:AlternateContent xmlns:mc="http://schemas.openxmlformats.org/markup-compatibility/2006">
      <mc:Choice xmlns:a14="http://schemas.microsoft.com/office/drawing/2010/main" Requires="a14">
        <xdr:graphicFrame macro="">
          <xdr:nvGraphicFramePr>
            <xdr:cNvPr id="44" name="Month Name">
              <a:extLst>
                <a:ext uri="{FF2B5EF4-FFF2-40B4-BE49-F238E27FC236}">
                  <a16:creationId xmlns:a16="http://schemas.microsoft.com/office/drawing/2014/main" id="{9AAC57A1-FA3A-49E5-A19B-E6D38BF2A8F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4360963" y="7711353"/>
              <a:ext cx="2468463" cy="3948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147636</xdr:colOff>
      <xdr:row>28</xdr:row>
      <xdr:rowOff>42863</xdr:rowOff>
    </xdr:from>
    <xdr:to>
      <xdr:col>11</xdr:col>
      <xdr:colOff>123823</xdr:colOff>
      <xdr:row>36</xdr:row>
      <xdr:rowOff>166255</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9433B77F-4FAA-43A0-BFEA-65068AFB20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14836" y="5376863"/>
              <a:ext cx="2414587" cy="1799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147638</xdr:colOff>
      <xdr:row>18</xdr:row>
      <xdr:rowOff>42861</xdr:rowOff>
    </xdr:from>
    <xdr:to>
      <xdr:col>11</xdr:col>
      <xdr:colOff>76200</xdr:colOff>
      <xdr:row>27</xdr:row>
      <xdr:rowOff>42862</xdr:rowOff>
    </xdr:to>
    <mc:AlternateContent xmlns:mc="http://schemas.openxmlformats.org/markup-compatibility/2006">
      <mc:Choice xmlns:a14="http://schemas.microsoft.com/office/drawing/2010/main" Requires="a14">
        <xdr:graphicFrame macro="">
          <xdr:nvGraphicFramePr>
            <xdr:cNvPr id="47" name="Category">
              <a:extLst>
                <a:ext uri="{FF2B5EF4-FFF2-40B4-BE49-F238E27FC236}">
                  <a16:creationId xmlns:a16="http://schemas.microsoft.com/office/drawing/2014/main" id="{DF88FEBF-497F-4A1F-A088-09ECA3B177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14838" y="3471861"/>
              <a:ext cx="2366962" cy="171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32905</xdr:colOff>
      <xdr:row>65</xdr:row>
      <xdr:rowOff>27710</xdr:rowOff>
    </xdr:from>
    <xdr:to>
      <xdr:col>43</xdr:col>
      <xdr:colOff>296141</xdr:colOff>
      <xdr:row>71</xdr:row>
      <xdr:rowOff>45028</xdr:rowOff>
    </xdr:to>
    <xdr:sp macro="" textlink="">
      <xdr:nvSpPr>
        <xdr:cNvPr id="23" name="Rectangle: Rounded Corners 22">
          <a:extLst>
            <a:ext uri="{FF2B5EF4-FFF2-40B4-BE49-F238E27FC236}">
              <a16:creationId xmlns:a16="http://schemas.microsoft.com/office/drawing/2014/main" id="{81D6041B-4A28-4DFB-8654-78CB9510E0E9}"/>
            </a:ext>
          </a:extLst>
        </xdr:cNvPr>
        <xdr:cNvSpPr/>
      </xdr:nvSpPr>
      <xdr:spPr>
        <a:xfrm>
          <a:off x="4300105" y="12562610"/>
          <a:ext cx="22208836" cy="1160318"/>
        </a:xfrm>
        <a:prstGeom prst="roundRect">
          <a:avLst>
            <a:gd name="adj" fmla="val 2161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a:solidFill>
              <a:schemeClr val="lt1"/>
            </a:solidFill>
            <a:latin typeface="+mn-lt"/>
            <a:ea typeface="+mn-ea"/>
            <a:cs typeface="+mn-cs"/>
          </a:endParaRPr>
        </a:p>
      </xdr:txBody>
    </xdr:sp>
    <xdr:clientData/>
  </xdr:twoCellAnchor>
  <xdr:twoCellAnchor>
    <xdr:from>
      <xdr:col>7</xdr:col>
      <xdr:colOff>278824</xdr:colOff>
      <xdr:row>65</xdr:row>
      <xdr:rowOff>148937</xdr:rowOff>
    </xdr:from>
    <xdr:to>
      <xdr:col>43</xdr:col>
      <xdr:colOff>67541</xdr:colOff>
      <xdr:row>71</xdr:row>
      <xdr:rowOff>79664</xdr:rowOff>
    </xdr:to>
    <xdr:sp macro="" textlink="">
      <xdr:nvSpPr>
        <xdr:cNvPr id="19" name="TextBox 18">
          <a:extLst>
            <a:ext uri="{FF2B5EF4-FFF2-40B4-BE49-F238E27FC236}">
              <a16:creationId xmlns:a16="http://schemas.microsoft.com/office/drawing/2014/main" id="{5C3531F2-008C-FA50-1355-B8363F3FB5DC}"/>
            </a:ext>
          </a:extLst>
        </xdr:cNvPr>
        <xdr:cNvSpPr txBox="1"/>
      </xdr:nvSpPr>
      <xdr:spPr>
        <a:xfrm>
          <a:off x="4546024" y="12683837"/>
          <a:ext cx="21734317" cy="1073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2">
                  <a:lumMod val="50000"/>
                </a:schemeClr>
              </a:solidFill>
            </a:rPr>
            <a:t>INSIGHTS</a:t>
          </a:r>
          <a:r>
            <a:rPr lang="en-US" sz="2000">
              <a:solidFill>
                <a:schemeClr val="tx2">
                  <a:lumMod val="50000"/>
                </a:schemeClr>
              </a:solidFill>
            </a:rPr>
            <a:t>: The total revenue which the business derived was </a:t>
          </a:r>
          <a:r>
            <a:rPr lang="en-US" sz="2000" b="0" i="0" u="none" strike="noStrike">
              <a:solidFill>
                <a:schemeClr val="tx2">
                  <a:lumMod val="50000"/>
                </a:schemeClr>
              </a:solidFill>
              <a:effectLst/>
              <a:latin typeface="+mn-lt"/>
              <a:ea typeface="+mn-ea"/>
              <a:cs typeface="+mn-cs"/>
            </a:rPr>
            <a:t>₦</a:t>
          </a:r>
          <a:r>
            <a:rPr lang="en-US" sz="2000">
              <a:effectLst/>
            </a:rPr>
            <a:t> </a:t>
          </a:r>
          <a:r>
            <a:rPr lang="en-US" sz="2000">
              <a:solidFill>
                <a:schemeClr val="tx2">
                  <a:lumMod val="50000"/>
                </a:schemeClr>
              </a:solidFill>
            </a:rPr>
            <a:t>982,012 with the highest performance during the month of January and August. The accessories will provide the greatest income and the returning customers will provide more than 75% of the overall sales. The most acceptable mode of payment is credit card. The sales are focused on several main products and sales representatives, which means that they can be diversified and improved in their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724437962963" createdVersion="8" refreshedVersion="8" minRefreshableVersion="3" recordCount="500" xr:uid="{C20C65A0-B876-48AE-8C71-D8B4BF73BC3C}">
  <cacheSource type="worksheet">
    <worksheetSource name="Table2"/>
  </cacheSource>
  <cacheFields count="12">
    <cacheField name="Date" numFmtId="0">
      <sharedItems/>
    </cacheField>
    <cacheField name="Month Name" numFmtId="0">
      <sharedItems/>
    </cacheField>
    <cacheField name="mnth name" numFmtId="0">
      <sharedItems count="12">
        <s v="Nov"/>
        <s v="Dec"/>
        <s v="Sep"/>
        <s v="Mar"/>
        <s v="Feb"/>
        <s v="Aug"/>
        <s v="Jul"/>
        <s v="Oct"/>
        <s v="Jan"/>
        <s v="May"/>
        <s v="Apr"/>
        <s v="Jun"/>
      </sharedItems>
    </cacheField>
    <cacheField name="Region" numFmtId="0">
      <sharedItems count="4">
        <s v="North"/>
        <s v="West"/>
        <s v="South"/>
        <s v="East"/>
      </sharedItems>
    </cacheField>
    <cacheField name="Salesperson" numFmtId="0">
      <sharedItems count="8">
        <s v="David Brown"/>
        <s v="John Doe"/>
        <s v="James Green"/>
        <s v="Linda White"/>
        <s v="Jane Smith"/>
        <s v="Sarah Johnson"/>
        <s v="Michael Lee"/>
        <s v="Emily Clark"/>
      </sharedItems>
    </cacheField>
    <cacheField name="Product" numFmtId="0">
      <sharedItems count="8">
        <s v="Printer"/>
        <s v="Laptop"/>
        <s v="Mouse"/>
        <s v="Monitor"/>
        <s v="Headset"/>
        <s v="Keyboard"/>
        <s v="Tablet"/>
        <s v="Phone"/>
      </sharedItems>
    </cacheField>
    <cacheField name="Category" numFmtId="0">
      <sharedItems count="3">
        <s v="Office"/>
        <s v="Electronics"/>
        <s v="Accessories"/>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52" maxValue="1500"/>
    </cacheField>
    <cacheField name="Total Sales" numFmtId="164">
      <sharedItems containsSemiMixedTypes="0" containsString="0" containsNumber="1" containsInteger="1" minValue="76" maxValue="27940"/>
    </cacheField>
    <cacheField name="Payment Method" numFmtId="0">
      <sharedItems count="4">
        <s v="Credit Card"/>
        <s v="Bank Transfer"/>
        <s v="Cash"/>
        <s v="Mobile Payment"/>
      </sharedItems>
    </cacheField>
    <cacheField name="Customer Type" numFmtId="0">
      <sharedItems count="2">
        <s v="New"/>
        <s v="Returning"/>
      </sharedItems>
    </cacheField>
  </cacheFields>
  <extLst>
    <ext xmlns:x14="http://schemas.microsoft.com/office/spreadsheetml/2009/9/main" uri="{725AE2AE-9491-48be-B2B4-4EB974FC3084}">
      <x14:pivotCacheDefinition pivotCacheId="1412487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4-11-23"/>
    <s v="November"/>
    <x v="0"/>
    <x v="0"/>
    <x v="0"/>
    <x v="0"/>
    <x v="0"/>
    <n v="8"/>
    <n v="507"/>
    <n v="4056"/>
    <x v="0"/>
    <x v="0"/>
  </r>
  <r>
    <s v="2024-12-12"/>
    <s v="December"/>
    <x v="1"/>
    <x v="1"/>
    <x v="1"/>
    <x v="0"/>
    <x v="0"/>
    <n v="1"/>
    <n v="241"/>
    <n v="241"/>
    <x v="0"/>
    <x v="0"/>
  </r>
  <r>
    <s v="2024-09-15"/>
    <s v="September"/>
    <x v="2"/>
    <x v="2"/>
    <x v="2"/>
    <x v="1"/>
    <x v="1"/>
    <n v="8"/>
    <n v="969"/>
    <n v="7752"/>
    <x v="1"/>
    <x v="0"/>
  </r>
  <r>
    <s v="2024-03-22"/>
    <s v="March"/>
    <x v="3"/>
    <x v="3"/>
    <x v="0"/>
    <x v="2"/>
    <x v="2"/>
    <n v="5"/>
    <n v="490"/>
    <n v="2450"/>
    <x v="1"/>
    <x v="0"/>
  </r>
  <r>
    <s v="2024-02-17"/>
    <s v="February"/>
    <x v="4"/>
    <x v="0"/>
    <x v="3"/>
    <x v="2"/>
    <x v="2"/>
    <n v="12"/>
    <n v="1286"/>
    <n v="15432"/>
    <x v="1"/>
    <x v="0"/>
  </r>
  <r>
    <s v="2024-08-23"/>
    <s v="August"/>
    <x v="5"/>
    <x v="1"/>
    <x v="4"/>
    <x v="0"/>
    <x v="0"/>
    <n v="18"/>
    <n v="650"/>
    <n v="11700"/>
    <x v="1"/>
    <x v="0"/>
  </r>
  <r>
    <s v="2024-12-26"/>
    <s v="December"/>
    <x v="1"/>
    <x v="0"/>
    <x v="5"/>
    <x v="0"/>
    <x v="0"/>
    <n v="10"/>
    <n v="213"/>
    <n v="2130"/>
    <x v="0"/>
    <x v="0"/>
  </r>
  <r>
    <s v="2024-07-13"/>
    <s v="July"/>
    <x v="6"/>
    <x v="1"/>
    <x v="3"/>
    <x v="3"/>
    <x v="1"/>
    <n v="6"/>
    <n v="808"/>
    <n v="4848"/>
    <x v="1"/>
    <x v="0"/>
  </r>
  <r>
    <s v="2024-12-09"/>
    <s v="December"/>
    <x v="1"/>
    <x v="0"/>
    <x v="6"/>
    <x v="3"/>
    <x v="1"/>
    <n v="18"/>
    <n v="551"/>
    <n v="9918"/>
    <x v="0"/>
    <x v="1"/>
  </r>
  <r>
    <s v="2024-07-13"/>
    <s v="July"/>
    <x v="6"/>
    <x v="2"/>
    <x v="3"/>
    <x v="3"/>
    <x v="1"/>
    <n v="2"/>
    <n v="519"/>
    <n v="1038"/>
    <x v="2"/>
    <x v="1"/>
  </r>
  <r>
    <s v="2024-07-24"/>
    <s v="July"/>
    <x v="6"/>
    <x v="0"/>
    <x v="5"/>
    <x v="3"/>
    <x v="1"/>
    <n v="19"/>
    <n v="694"/>
    <n v="13186"/>
    <x v="0"/>
    <x v="1"/>
  </r>
  <r>
    <s v="2024-07-21"/>
    <s v="July"/>
    <x v="6"/>
    <x v="2"/>
    <x v="0"/>
    <x v="4"/>
    <x v="2"/>
    <n v="5"/>
    <n v="555"/>
    <n v="2775"/>
    <x v="1"/>
    <x v="1"/>
  </r>
  <r>
    <s v="2024-10-25"/>
    <s v="October"/>
    <x v="7"/>
    <x v="3"/>
    <x v="5"/>
    <x v="2"/>
    <x v="2"/>
    <n v="5"/>
    <n v="1093"/>
    <n v="5465"/>
    <x v="3"/>
    <x v="0"/>
  </r>
  <r>
    <s v="2024-01-25"/>
    <s v="January"/>
    <x v="8"/>
    <x v="2"/>
    <x v="6"/>
    <x v="0"/>
    <x v="0"/>
    <n v="14"/>
    <n v="1271"/>
    <n v="17794"/>
    <x v="2"/>
    <x v="1"/>
  </r>
  <r>
    <s v="2024-07-14"/>
    <s v="July"/>
    <x v="6"/>
    <x v="3"/>
    <x v="1"/>
    <x v="4"/>
    <x v="2"/>
    <n v="4"/>
    <n v="1446"/>
    <n v="5784"/>
    <x v="1"/>
    <x v="1"/>
  </r>
  <r>
    <s v="2024-02-27"/>
    <s v="February"/>
    <x v="4"/>
    <x v="1"/>
    <x v="6"/>
    <x v="3"/>
    <x v="1"/>
    <n v="15"/>
    <n v="56"/>
    <n v="840"/>
    <x v="1"/>
    <x v="0"/>
  </r>
  <r>
    <s v="2024-09-16"/>
    <s v="September"/>
    <x v="2"/>
    <x v="3"/>
    <x v="5"/>
    <x v="0"/>
    <x v="0"/>
    <n v="5"/>
    <n v="815"/>
    <n v="4075"/>
    <x v="0"/>
    <x v="0"/>
  </r>
  <r>
    <s v="2024-11-02"/>
    <s v="November"/>
    <x v="0"/>
    <x v="1"/>
    <x v="1"/>
    <x v="5"/>
    <x v="2"/>
    <n v="4"/>
    <n v="793"/>
    <n v="3172"/>
    <x v="1"/>
    <x v="0"/>
  </r>
  <r>
    <s v="2024-01-30"/>
    <s v="January"/>
    <x v="8"/>
    <x v="0"/>
    <x v="4"/>
    <x v="6"/>
    <x v="1"/>
    <n v="16"/>
    <n v="191"/>
    <n v="3056"/>
    <x v="0"/>
    <x v="0"/>
  </r>
  <r>
    <s v="2024-12-03"/>
    <s v="December"/>
    <x v="1"/>
    <x v="2"/>
    <x v="0"/>
    <x v="4"/>
    <x v="2"/>
    <n v="17"/>
    <n v="1292"/>
    <n v="21964"/>
    <x v="3"/>
    <x v="0"/>
  </r>
  <r>
    <s v="2024-10-03"/>
    <s v="October"/>
    <x v="7"/>
    <x v="3"/>
    <x v="2"/>
    <x v="6"/>
    <x v="1"/>
    <n v="12"/>
    <n v="947"/>
    <n v="11364"/>
    <x v="3"/>
    <x v="0"/>
  </r>
  <r>
    <s v="2024-05-06"/>
    <s v="May"/>
    <x v="9"/>
    <x v="0"/>
    <x v="3"/>
    <x v="6"/>
    <x v="1"/>
    <n v="1"/>
    <n v="1254"/>
    <n v="1254"/>
    <x v="0"/>
    <x v="0"/>
  </r>
  <r>
    <s v="2024-01-04"/>
    <s v="January"/>
    <x v="8"/>
    <x v="0"/>
    <x v="5"/>
    <x v="0"/>
    <x v="0"/>
    <n v="3"/>
    <n v="114"/>
    <n v="342"/>
    <x v="1"/>
    <x v="0"/>
  </r>
  <r>
    <s v="2024-09-20"/>
    <s v="September"/>
    <x v="2"/>
    <x v="3"/>
    <x v="7"/>
    <x v="6"/>
    <x v="1"/>
    <n v="7"/>
    <n v="1154"/>
    <n v="8078"/>
    <x v="0"/>
    <x v="1"/>
  </r>
  <r>
    <s v="2024-05-04"/>
    <s v="May"/>
    <x v="9"/>
    <x v="1"/>
    <x v="5"/>
    <x v="4"/>
    <x v="2"/>
    <n v="4"/>
    <n v="248"/>
    <n v="992"/>
    <x v="3"/>
    <x v="1"/>
  </r>
  <r>
    <s v="2024-08-04"/>
    <s v="August"/>
    <x v="5"/>
    <x v="1"/>
    <x v="1"/>
    <x v="2"/>
    <x v="2"/>
    <n v="4"/>
    <n v="174"/>
    <n v="696"/>
    <x v="3"/>
    <x v="1"/>
  </r>
  <r>
    <s v="2024-02-25"/>
    <s v="February"/>
    <x v="4"/>
    <x v="2"/>
    <x v="5"/>
    <x v="6"/>
    <x v="1"/>
    <n v="18"/>
    <n v="968"/>
    <n v="17424"/>
    <x v="0"/>
    <x v="1"/>
  </r>
  <r>
    <s v="2024-04-03"/>
    <s v="April"/>
    <x v="10"/>
    <x v="1"/>
    <x v="5"/>
    <x v="3"/>
    <x v="1"/>
    <n v="3"/>
    <n v="957"/>
    <n v="2871"/>
    <x v="2"/>
    <x v="0"/>
  </r>
  <r>
    <s v="2024-11-29"/>
    <s v="November"/>
    <x v="0"/>
    <x v="0"/>
    <x v="5"/>
    <x v="1"/>
    <x v="1"/>
    <n v="6"/>
    <n v="882"/>
    <n v="5292"/>
    <x v="3"/>
    <x v="1"/>
  </r>
  <r>
    <s v="2024-04-19"/>
    <s v="April"/>
    <x v="10"/>
    <x v="0"/>
    <x v="6"/>
    <x v="2"/>
    <x v="2"/>
    <n v="13"/>
    <n v="54"/>
    <n v="702"/>
    <x v="3"/>
    <x v="1"/>
  </r>
  <r>
    <s v="2024-08-20"/>
    <s v="August"/>
    <x v="5"/>
    <x v="1"/>
    <x v="7"/>
    <x v="3"/>
    <x v="1"/>
    <n v="5"/>
    <n v="438"/>
    <n v="2190"/>
    <x v="1"/>
    <x v="0"/>
  </r>
  <r>
    <s v="2024-01-30"/>
    <s v="January"/>
    <x v="8"/>
    <x v="3"/>
    <x v="1"/>
    <x v="1"/>
    <x v="1"/>
    <n v="2"/>
    <n v="1246"/>
    <n v="2492"/>
    <x v="3"/>
    <x v="0"/>
  </r>
  <r>
    <s v="2024-01-30"/>
    <s v="January"/>
    <x v="8"/>
    <x v="2"/>
    <x v="4"/>
    <x v="0"/>
    <x v="0"/>
    <n v="20"/>
    <n v="189"/>
    <n v="3780"/>
    <x v="0"/>
    <x v="1"/>
  </r>
  <r>
    <s v="2024-03-02"/>
    <s v="March"/>
    <x v="3"/>
    <x v="0"/>
    <x v="4"/>
    <x v="6"/>
    <x v="1"/>
    <n v="14"/>
    <n v="1396"/>
    <n v="19544"/>
    <x v="1"/>
    <x v="1"/>
  </r>
  <r>
    <s v="2024-04-14"/>
    <s v="April"/>
    <x v="10"/>
    <x v="2"/>
    <x v="0"/>
    <x v="5"/>
    <x v="2"/>
    <n v="13"/>
    <n v="318"/>
    <n v="4134"/>
    <x v="1"/>
    <x v="1"/>
  </r>
  <r>
    <s v="2024-06-10"/>
    <s v="June"/>
    <x v="11"/>
    <x v="0"/>
    <x v="7"/>
    <x v="0"/>
    <x v="0"/>
    <n v="20"/>
    <n v="1203"/>
    <n v="24060"/>
    <x v="2"/>
    <x v="0"/>
  </r>
  <r>
    <s v="2024-10-02"/>
    <s v="October"/>
    <x v="7"/>
    <x v="3"/>
    <x v="6"/>
    <x v="6"/>
    <x v="1"/>
    <n v="12"/>
    <n v="190"/>
    <n v="2280"/>
    <x v="0"/>
    <x v="1"/>
  </r>
  <r>
    <s v="2024-05-25"/>
    <s v="May"/>
    <x v="9"/>
    <x v="1"/>
    <x v="0"/>
    <x v="7"/>
    <x v="1"/>
    <n v="20"/>
    <n v="1389"/>
    <n v="27780"/>
    <x v="2"/>
    <x v="1"/>
  </r>
  <r>
    <s v="2024-12-05"/>
    <s v="December"/>
    <x v="1"/>
    <x v="2"/>
    <x v="0"/>
    <x v="0"/>
    <x v="0"/>
    <n v="4"/>
    <n v="269"/>
    <n v="1076"/>
    <x v="0"/>
    <x v="1"/>
  </r>
  <r>
    <s v="2024-05-24"/>
    <s v="May"/>
    <x v="9"/>
    <x v="3"/>
    <x v="5"/>
    <x v="6"/>
    <x v="1"/>
    <n v="9"/>
    <n v="1085"/>
    <n v="9765"/>
    <x v="3"/>
    <x v="1"/>
  </r>
  <r>
    <s v="2024-01-27"/>
    <s v="January"/>
    <x v="8"/>
    <x v="1"/>
    <x v="0"/>
    <x v="0"/>
    <x v="0"/>
    <n v="2"/>
    <n v="57"/>
    <n v="114"/>
    <x v="1"/>
    <x v="0"/>
  </r>
  <r>
    <s v="2024-11-22"/>
    <s v="November"/>
    <x v="0"/>
    <x v="2"/>
    <x v="7"/>
    <x v="3"/>
    <x v="1"/>
    <n v="18"/>
    <n v="1495"/>
    <n v="26910"/>
    <x v="3"/>
    <x v="0"/>
  </r>
  <r>
    <s v="2024-02-27"/>
    <s v="February"/>
    <x v="4"/>
    <x v="2"/>
    <x v="1"/>
    <x v="0"/>
    <x v="0"/>
    <n v="12"/>
    <n v="1242"/>
    <n v="14904"/>
    <x v="0"/>
    <x v="1"/>
  </r>
  <r>
    <s v="2024-03-06"/>
    <s v="March"/>
    <x v="3"/>
    <x v="3"/>
    <x v="3"/>
    <x v="1"/>
    <x v="1"/>
    <n v="2"/>
    <n v="782"/>
    <n v="1564"/>
    <x v="0"/>
    <x v="0"/>
  </r>
  <r>
    <s v="2024-12-07"/>
    <s v="December"/>
    <x v="1"/>
    <x v="3"/>
    <x v="2"/>
    <x v="0"/>
    <x v="0"/>
    <n v="20"/>
    <n v="366"/>
    <n v="7320"/>
    <x v="0"/>
    <x v="0"/>
  </r>
  <r>
    <s v="2024-03-31"/>
    <s v="March"/>
    <x v="3"/>
    <x v="0"/>
    <x v="6"/>
    <x v="2"/>
    <x v="2"/>
    <n v="11"/>
    <n v="893"/>
    <n v="9823"/>
    <x v="0"/>
    <x v="1"/>
  </r>
  <r>
    <s v="2024-03-22"/>
    <s v="March"/>
    <x v="3"/>
    <x v="1"/>
    <x v="1"/>
    <x v="0"/>
    <x v="0"/>
    <n v="16"/>
    <n v="505"/>
    <n v="8080"/>
    <x v="0"/>
    <x v="1"/>
  </r>
  <r>
    <s v="2024-06-28"/>
    <s v="June"/>
    <x v="11"/>
    <x v="2"/>
    <x v="5"/>
    <x v="3"/>
    <x v="1"/>
    <n v="1"/>
    <n v="1401"/>
    <n v="1401"/>
    <x v="0"/>
    <x v="1"/>
  </r>
  <r>
    <s v="2024-06-17"/>
    <s v="June"/>
    <x v="11"/>
    <x v="0"/>
    <x v="0"/>
    <x v="3"/>
    <x v="1"/>
    <n v="12"/>
    <n v="1363"/>
    <n v="16356"/>
    <x v="3"/>
    <x v="1"/>
  </r>
  <r>
    <s v="2024-01-15"/>
    <s v="January"/>
    <x v="8"/>
    <x v="3"/>
    <x v="6"/>
    <x v="0"/>
    <x v="0"/>
    <n v="19"/>
    <n v="593"/>
    <n v="11267"/>
    <x v="2"/>
    <x v="0"/>
  </r>
  <r>
    <s v="2024-11-01"/>
    <s v="November"/>
    <x v="0"/>
    <x v="3"/>
    <x v="3"/>
    <x v="2"/>
    <x v="2"/>
    <n v="14"/>
    <n v="1291"/>
    <n v="18074"/>
    <x v="2"/>
    <x v="1"/>
  </r>
  <r>
    <s v="2024-10-22"/>
    <s v="October"/>
    <x v="7"/>
    <x v="3"/>
    <x v="1"/>
    <x v="6"/>
    <x v="1"/>
    <n v="14"/>
    <n v="53"/>
    <n v="742"/>
    <x v="0"/>
    <x v="1"/>
  </r>
  <r>
    <s v="2024-08-08"/>
    <s v="August"/>
    <x v="5"/>
    <x v="3"/>
    <x v="3"/>
    <x v="0"/>
    <x v="0"/>
    <n v="4"/>
    <n v="665"/>
    <n v="2660"/>
    <x v="1"/>
    <x v="1"/>
  </r>
  <r>
    <s v="2024-06-16"/>
    <s v="June"/>
    <x v="11"/>
    <x v="3"/>
    <x v="6"/>
    <x v="2"/>
    <x v="2"/>
    <n v="7"/>
    <n v="911"/>
    <n v="6377"/>
    <x v="3"/>
    <x v="0"/>
  </r>
  <r>
    <s v="2024-11-11"/>
    <s v="November"/>
    <x v="0"/>
    <x v="1"/>
    <x v="1"/>
    <x v="3"/>
    <x v="1"/>
    <n v="10"/>
    <n v="637"/>
    <n v="6370"/>
    <x v="0"/>
    <x v="1"/>
  </r>
  <r>
    <s v="2024-10-23"/>
    <s v="October"/>
    <x v="7"/>
    <x v="1"/>
    <x v="7"/>
    <x v="5"/>
    <x v="2"/>
    <n v="15"/>
    <n v="1433"/>
    <n v="21495"/>
    <x v="0"/>
    <x v="1"/>
  </r>
  <r>
    <s v="2024-03-27"/>
    <s v="March"/>
    <x v="3"/>
    <x v="3"/>
    <x v="3"/>
    <x v="0"/>
    <x v="0"/>
    <n v="3"/>
    <n v="531"/>
    <n v="1593"/>
    <x v="1"/>
    <x v="0"/>
  </r>
  <r>
    <s v="2024-04-11"/>
    <s v="April"/>
    <x v="10"/>
    <x v="0"/>
    <x v="1"/>
    <x v="7"/>
    <x v="1"/>
    <n v="8"/>
    <n v="1023"/>
    <n v="8184"/>
    <x v="2"/>
    <x v="1"/>
  </r>
  <r>
    <s v="2024-07-31"/>
    <s v="July"/>
    <x v="6"/>
    <x v="1"/>
    <x v="7"/>
    <x v="6"/>
    <x v="1"/>
    <n v="13"/>
    <n v="549"/>
    <n v="7137"/>
    <x v="0"/>
    <x v="0"/>
  </r>
  <r>
    <s v="2024-02-24"/>
    <s v="February"/>
    <x v="4"/>
    <x v="2"/>
    <x v="6"/>
    <x v="2"/>
    <x v="2"/>
    <n v="17"/>
    <n v="1001"/>
    <n v="17017"/>
    <x v="2"/>
    <x v="0"/>
  </r>
  <r>
    <s v="2024-03-03"/>
    <s v="March"/>
    <x v="3"/>
    <x v="2"/>
    <x v="7"/>
    <x v="4"/>
    <x v="2"/>
    <n v="17"/>
    <n v="1194"/>
    <n v="20298"/>
    <x v="1"/>
    <x v="1"/>
  </r>
  <r>
    <s v="2024-11-09"/>
    <s v="November"/>
    <x v="0"/>
    <x v="1"/>
    <x v="6"/>
    <x v="2"/>
    <x v="2"/>
    <n v="16"/>
    <n v="971"/>
    <n v="15536"/>
    <x v="1"/>
    <x v="0"/>
  </r>
  <r>
    <s v="2024-11-22"/>
    <s v="November"/>
    <x v="0"/>
    <x v="1"/>
    <x v="5"/>
    <x v="3"/>
    <x v="1"/>
    <n v="9"/>
    <n v="950"/>
    <n v="8550"/>
    <x v="2"/>
    <x v="1"/>
  </r>
  <r>
    <s v="2024-04-30"/>
    <s v="April"/>
    <x v="10"/>
    <x v="3"/>
    <x v="3"/>
    <x v="3"/>
    <x v="1"/>
    <n v="18"/>
    <n v="215"/>
    <n v="3870"/>
    <x v="0"/>
    <x v="0"/>
  </r>
  <r>
    <s v="2024-04-28"/>
    <s v="April"/>
    <x v="10"/>
    <x v="2"/>
    <x v="5"/>
    <x v="2"/>
    <x v="2"/>
    <n v="3"/>
    <n v="899"/>
    <n v="2697"/>
    <x v="3"/>
    <x v="1"/>
  </r>
  <r>
    <s v="2024-10-04"/>
    <s v="October"/>
    <x v="7"/>
    <x v="1"/>
    <x v="1"/>
    <x v="4"/>
    <x v="2"/>
    <n v="7"/>
    <n v="910"/>
    <n v="6370"/>
    <x v="3"/>
    <x v="0"/>
  </r>
  <r>
    <s v="2024-10-21"/>
    <s v="October"/>
    <x v="7"/>
    <x v="1"/>
    <x v="1"/>
    <x v="2"/>
    <x v="2"/>
    <n v="12"/>
    <n v="661"/>
    <n v="7932"/>
    <x v="3"/>
    <x v="1"/>
  </r>
  <r>
    <s v="2024-10-02"/>
    <s v="October"/>
    <x v="7"/>
    <x v="1"/>
    <x v="5"/>
    <x v="6"/>
    <x v="1"/>
    <n v="9"/>
    <n v="942"/>
    <n v="8478"/>
    <x v="3"/>
    <x v="0"/>
  </r>
  <r>
    <s v="2024-07-18"/>
    <s v="July"/>
    <x v="6"/>
    <x v="1"/>
    <x v="6"/>
    <x v="5"/>
    <x v="2"/>
    <n v="15"/>
    <n v="311"/>
    <n v="4665"/>
    <x v="2"/>
    <x v="1"/>
  </r>
  <r>
    <s v="2024-10-30"/>
    <s v="October"/>
    <x v="7"/>
    <x v="0"/>
    <x v="2"/>
    <x v="1"/>
    <x v="1"/>
    <n v="5"/>
    <n v="995"/>
    <n v="4975"/>
    <x v="0"/>
    <x v="0"/>
  </r>
  <r>
    <s v="2024-05-13"/>
    <s v="May"/>
    <x v="9"/>
    <x v="3"/>
    <x v="5"/>
    <x v="2"/>
    <x v="2"/>
    <n v="15"/>
    <n v="719"/>
    <n v="10785"/>
    <x v="1"/>
    <x v="1"/>
  </r>
  <r>
    <s v="2024-05-22"/>
    <s v="May"/>
    <x v="9"/>
    <x v="3"/>
    <x v="4"/>
    <x v="2"/>
    <x v="2"/>
    <n v="16"/>
    <n v="89"/>
    <n v="1424"/>
    <x v="2"/>
    <x v="1"/>
  </r>
  <r>
    <s v="2024-04-24"/>
    <s v="April"/>
    <x v="10"/>
    <x v="0"/>
    <x v="1"/>
    <x v="0"/>
    <x v="0"/>
    <n v="8"/>
    <n v="458"/>
    <n v="3664"/>
    <x v="2"/>
    <x v="0"/>
  </r>
  <r>
    <s v="2024-05-02"/>
    <s v="May"/>
    <x v="9"/>
    <x v="1"/>
    <x v="4"/>
    <x v="7"/>
    <x v="1"/>
    <n v="19"/>
    <n v="496"/>
    <n v="9424"/>
    <x v="3"/>
    <x v="1"/>
  </r>
  <r>
    <s v="2024-07-07"/>
    <s v="July"/>
    <x v="6"/>
    <x v="0"/>
    <x v="6"/>
    <x v="7"/>
    <x v="1"/>
    <n v="10"/>
    <n v="271"/>
    <n v="2710"/>
    <x v="2"/>
    <x v="1"/>
  </r>
  <r>
    <s v="2024-10-21"/>
    <s v="October"/>
    <x v="7"/>
    <x v="1"/>
    <x v="5"/>
    <x v="2"/>
    <x v="2"/>
    <n v="3"/>
    <n v="1262"/>
    <n v="3786"/>
    <x v="0"/>
    <x v="0"/>
  </r>
  <r>
    <s v="2024-12-22"/>
    <s v="December"/>
    <x v="1"/>
    <x v="0"/>
    <x v="1"/>
    <x v="3"/>
    <x v="1"/>
    <n v="12"/>
    <n v="1141"/>
    <n v="13692"/>
    <x v="3"/>
    <x v="1"/>
  </r>
  <r>
    <s v="2024-02-05"/>
    <s v="February"/>
    <x v="4"/>
    <x v="0"/>
    <x v="2"/>
    <x v="5"/>
    <x v="2"/>
    <n v="16"/>
    <n v="266"/>
    <n v="4256"/>
    <x v="3"/>
    <x v="1"/>
  </r>
  <r>
    <s v="2024-11-21"/>
    <s v="November"/>
    <x v="0"/>
    <x v="2"/>
    <x v="2"/>
    <x v="4"/>
    <x v="2"/>
    <n v="6"/>
    <n v="1118"/>
    <n v="6708"/>
    <x v="1"/>
    <x v="1"/>
  </r>
  <r>
    <s v="2024-08-26"/>
    <s v="August"/>
    <x v="5"/>
    <x v="3"/>
    <x v="3"/>
    <x v="2"/>
    <x v="2"/>
    <n v="8"/>
    <n v="227"/>
    <n v="1816"/>
    <x v="1"/>
    <x v="1"/>
  </r>
  <r>
    <s v="2024-05-04"/>
    <s v="May"/>
    <x v="9"/>
    <x v="1"/>
    <x v="3"/>
    <x v="4"/>
    <x v="2"/>
    <n v="1"/>
    <n v="1062"/>
    <n v="1062"/>
    <x v="1"/>
    <x v="0"/>
  </r>
  <r>
    <s v="2024-09-06"/>
    <s v="September"/>
    <x v="2"/>
    <x v="3"/>
    <x v="0"/>
    <x v="6"/>
    <x v="1"/>
    <n v="11"/>
    <n v="622"/>
    <n v="6842"/>
    <x v="1"/>
    <x v="0"/>
  </r>
  <r>
    <s v="2024-09-21"/>
    <s v="September"/>
    <x v="2"/>
    <x v="0"/>
    <x v="5"/>
    <x v="6"/>
    <x v="1"/>
    <n v="14"/>
    <n v="1050"/>
    <n v="14700"/>
    <x v="0"/>
    <x v="1"/>
  </r>
  <r>
    <s v="2024-11-26"/>
    <s v="November"/>
    <x v="0"/>
    <x v="1"/>
    <x v="1"/>
    <x v="4"/>
    <x v="2"/>
    <n v="3"/>
    <n v="652"/>
    <n v="1956"/>
    <x v="0"/>
    <x v="1"/>
  </r>
  <r>
    <s v="2024-12-20"/>
    <s v="December"/>
    <x v="1"/>
    <x v="3"/>
    <x v="3"/>
    <x v="6"/>
    <x v="1"/>
    <n v="16"/>
    <n v="1183"/>
    <n v="18928"/>
    <x v="1"/>
    <x v="1"/>
  </r>
  <r>
    <s v="2024-10-08"/>
    <s v="October"/>
    <x v="7"/>
    <x v="3"/>
    <x v="7"/>
    <x v="5"/>
    <x v="2"/>
    <n v="9"/>
    <n v="677"/>
    <n v="6093"/>
    <x v="1"/>
    <x v="0"/>
  </r>
  <r>
    <s v="2024-03-02"/>
    <s v="March"/>
    <x v="3"/>
    <x v="3"/>
    <x v="4"/>
    <x v="6"/>
    <x v="1"/>
    <n v="18"/>
    <n v="1463"/>
    <n v="26334"/>
    <x v="0"/>
    <x v="0"/>
  </r>
  <r>
    <s v="2024-04-20"/>
    <s v="April"/>
    <x v="10"/>
    <x v="3"/>
    <x v="0"/>
    <x v="4"/>
    <x v="2"/>
    <n v="4"/>
    <n v="447"/>
    <n v="1788"/>
    <x v="1"/>
    <x v="0"/>
  </r>
  <r>
    <s v="2024-07-03"/>
    <s v="July"/>
    <x v="6"/>
    <x v="3"/>
    <x v="1"/>
    <x v="7"/>
    <x v="1"/>
    <n v="18"/>
    <n v="309"/>
    <n v="5562"/>
    <x v="1"/>
    <x v="0"/>
  </r>
  <r>
    <s v="2024-01-28"/>
    <s v="January"/>
    <x v="8"/>
    <x v="2"/>
    <x v="7"/>
    <x v="3"/>
    <x v="1"/>
    <n v="4"/>
    <n v="75"/>
    <n v="300"/>
    <x v="1"/>
    <x v="1"/>
  </r>
  <r>
    <s v="2024-09-02"/>
    <s v="September"/>
    <x v="2"/>
    <x v="3"/>
    <x v="6"/>
    <x v="4"/>
    <x v="2"/>
    <n v="2"/>
    <n v="567"/>
    <n v="1134"/>
    <x v="3"/>
    <x v="0"/>
  </r>
  <r>
    <s v="2024-02-03"/>
    <s v="February"/>
    <x v="4"/>
    <x v="1"/>
    <x v="4"/>
    <x v="2"/>
    <x v="2"/>
    <n v="19"/>
    <n v="1339"/>
    <n v="25441"/>
    <x v="2"/>
    <x v="0"/>
  </r>
  <r>
    <s v="2024-03-17"/>
    <s v="March"/>
    <x v="3"/>
    <x v="0"/>
    <x v="5"/>
    <x v="3"/>
    <x v="1"/>
    <n v="4"/>
    <n v="1192"/>
    <n v="4768"/>
    <x v="3"/>
    <x v="0"/>
  </r>
  <r>
    <s v="2024-09-24"/>
    <s v="September"/>
    <x v="2"/>
    <x v="1"/>
    <x v="7"/>
    <x v="2"/>
    <x v="2"/>
    <n v="10"/>
    <n v="1255"/>
    <n v="12550"/>
    <x v="3"/>
    <x v="1"/>
  </r>
  <r>
    <s v="2024-10-18"/>
    <s v="October"/>
    <x v="7"/>
    <x v="0"/>
    <x v="5"/>
    <x v="1"/>
    <x v="1"/>
    <n v="7"/>
    <n v="591"/>
    <n v="4137"/>
    <x v="2"/>
    <x v="0"/>
  </r>
  <r>
    <s v="2024-05-02"/>
    <s v="May"/>
    <x v="9"/>
    <x v="0"/>
    <x v="6"/>
    <x v="7"/>
    <x v="1"/>
    <n v="1"/>
    <n v="886"/>
    <n v="886"/>
    <x v="3"/>
    <x v="1"/>
  </r>
  <r>
    <s v="2024-05-29"/>
    <s v="May"/>
    <x v="9"/>
    <x v="2"/>
    <x v="0"/>
    <x v="1"/>
    <x v="1"/>
    <n v="10"/>
    <n v="1489"/>
    <n v="14890"/>
    <x v="3"/>
    <x v="0"/>
  </r>
  <r>
    <s v="2024-12-17"/>
    <s v="December"/>
    <x v="1"/>
    <x v="3"/>
    <x v="5"/>
    <x v="6"/>
    <x v="1"/>
    <n v="14"/>
    <n v="285"/>
    <n v="3990"/>
    <x v="0"/>
    <x v="0"/>
  </r>
  <r>
    <s v="2024-05-16"/>
    <s v="May"/>
    <x v="9"/>
    <x v="0"/>
    <x v="1"/>
    <x v="7"/>
    <x v="1"/>
    <n v="6"/>
    <n v="679"/>
    <n v="4074"/>
    <x v="1"/>
    <x v="1"/>
  </r>
  <r>
    <s v="2024-03-04"/>
    <s v="March"/>
    <x v="3"/>
    <x v="3"/>
    <x v="2"/>
    <x v="4"/>
    <x v="2"/>
    <n v="9"/>
    <n v="1074"/>
    <n v="9666"/>
    <x v="3"/>
    <x v="1"/>
  </r>
  <r>
    <s v="2024-02-11"/>
    <s v="February"/>
    <x v="4"/>
    <x v="1"/>
    <x v="3"/>
    <x v="1"/>
    <x v="1"/>
    <n v="20"/>
    <n v="562"/>
    <n v="11240"/>
    <x v="2"/>
    <x v="0"/>
  </r>
  <r>
    <s v="2024-04-27"/>
    <s v="April"/>
    <x v="10"/>
    <x v="3"/>
    <x v="1"/>
    <x v="1"/>
    <x v="1"/>
    <n v="6"/>
    <n v="1013"/>
    <n v="6078"/>
    <x v="3"/>
    <x v="1"/>
  </r>
  <r>
    <s v="2024-04-02"/>
    <s v="April"/>
    <x v="10"/>
    <x v="1"/>
    <x v="4"/>
    <x v="2"/>
    <x v="2"/>
    <n v="16"/>
    <n v="762"/>
    <n v="12192"/>
    <x v="3"/>
    <x v="1"/>
  </r>
  <r>
    <s v="2024-06-13"/>
    <s v="June"/>
    <x v="11"/>
    <x v="2"/>
    <x v="3"/>
    <x v="0"/>
    <x v="0"/>
    <n v="14"/>
    <n v="1470"/>
    <n v="20580"/>
    <x v="3"/>
    <x v="1"/>
  </r>
  <r>
    <s v="2024-12-05"/>
    <s v="December"/>
    <x v="1"/>
    <x v="0"/>
    <x v="7"/>
    <x v="2"/>
    <x v="2"/>
    <n v="3"/>
    <n v="694"/>
    <n v="2082"/>
    <x v="1"/>
    <x v="1"/>
  </r>
  <r>
    <s v="2024-02-29"/>
    <s v="February"/>
    <x v="4"/>
    <x v="0"/>
    <x v="7"/>
    <x v="2"/>
    <x v="2"/>
    <n v="14"/>
    <n v="161"/>
    <n v="2254"/>
    <x v="0"/>
    <x v="1"/>
  </r>
  <r>
    <s v="2024-11-14"/>
    <s v="November"/>
    <x v="0"/>
    <x v="1"/>
    <x v="1"/>
    <x v="4"/>
    <x v="2"/>
    <n v="7"/>
    <n v="596"/>
    <n v="4172"/>
    <x v="0"/>
    <x v="1"/>
  </r>
  <r>
    <s v="2024-08-12"/>
    <s v="August"/>
    <x v="5"/>
    <x v="0"/>
    <x v="1"/>
    <x v="4"/>
    <x v="2"/>
    <n v="20"/>
    <n v="540"/>
    <n v="10800"/>
    <x v="0"/>
    <x v="1"/>
  </r>
  <r>
    <s v="2024-10-09"/>
    <s v="October"/>
    <x v="7"/>
    <x v="1"/>
    <x v="4"/>
    <x v="1"/>
    <x v="1"/>
    <n v="8"/>
    <n v="282"/>
    <n v="2256"/>
    <x v="3"/>
    <x v="0"/>
  </r>
  <r>
    <s v="2024-11-27"/>
    <s v="November"/>
    <x v="0"/>
    <x v="1"/>
    <x v="0"/>
    <x v="7"/>
    <x v="1"/>
    <n v="17"/>
    <n v="1494"/>
    <n v="25398"/>
    <x v="1"/>
    <x v="1"/>
  </r>
  <r>
    <s v="2024-09-04"/>
    <s v="September"/>
    <x v="2"/>
    <x v="2"/>
    <x v="7"/>
    <x v="4"/>
    <x v="2"/>
    <n v="18"/>
    <n v="346"/>
    <n v="6228"/>
    <x v="3"/>
    <x v="0"/>
  </r>
  <r>
    <s v="2024-11-02"/>
    <s v="November"/>
    <x v="0"/>
    <x v="0"/>
    <x v="0"/>
    <x v="7"/>
    <x v="1"/>
    <n v="14"/>
    <n v="746"/>
    <n v="10444"/>
    <x v="1"/>
    <x v="0"/>
  </r>
  <r>
    <s v="2024-05-24"/>
    <s v="May"/>
    <x v="9"/>
    <x v="1"/>
    <x v="6"/>
    <x v="3"/>
    <x v="1"/>
    <n v="15"/>
    <n v="1153"/>
    <n v="17295"/>
    <x v="3"/>
    <x v="1"/>
  </r>
  <r>
    <s v="2024-06-19"/>
    <s v="June"/>
    <x v="11"/>
    <x v="1"/>
    <x v="3"/>
    <x v="2"/>
    <x v="2"/>
    <n v="7"/>
    <n v="1478"/>
    <n v="10346"/>
    <x v="0"/>
    <x v="1"/>
  </r>
  <r>
    <s v="2024-04-29"/>
    <s v="April"/>
    <x v="10"/>
    <x v="0"/>
    <x v="3"/>
    <x v="2"/>
    <x v="2"/>
    <n v="16"/>
    <n v="1494"/>
    <n v="23904"/>
    <x v="3"/>
    <x v="1"/>
  </r>
  <r>
    <s v="2024-12-05"/>
    <s v="December"/>
    <x v="1"/>
    <x v="1"/>
    <x v="1"/>
    <x v="7"/>
    <x v="1"/>
    <n v="5"/>
    <n v="1078"/>
    <n v="5390"/>
    <x v="1"/>
    <x v="0"/>
  </r>
  <r>
    <s v="2024-08-13"/>
    <s v="August"/>
    <x v="5"/>
    <x v="1"/>
    <x v="1"/>
    <x v="0"/>
    <x v="0"/>
    <n v="5"/>
    <n v="889"/>
    <n v="4445"/>
    <x v="0"/>
    <x v="0"/>
  </r>
  <r>
    <s v="2024-08-28"/>
    <s v="August"/>
    <x v="5"/>
    <x v="3"/>
    <x v="2"/>
    <x v="3"/>
    <x v="1"/>
    <n v="3"/>
    <n v="722"/>
    <n v="2166"/>
    <x v="3"/>
    <x v="1"/>
  </r>
  <r>
    <s v="2024-11-16"/>
    <s v="November"/>
    <x v="0"/>
    <x v="0"/>
    <x v="4"/>
    <x v="4"/>
    <x v="2"/>
    <n v="8"/>
    <n v="1342"/>
    <n v="10736"/>
    <x v="1"/>
    <x v="0"/>
  </r>
  <r>
    <s v="2024-02-16"/>
    <s v="February"/>
    <x v="4"/>
    <x v="0"/>
    <x v="4"/>
    <x v="2"/>
    <x v="2"/>
    <n v="15"/>
    <n v="390"/>
    <n v="5850"/>
    <x v="1"/>
    <x v="0"/>
  </r>
  <r>
    <s v="2024-01-24"/>
    <s v="January"/>
    <x v="8"/>
    <x v="0"/>
    <x v="0"/>
    <x v="5"/>
    <x v="2"/>
    <n v="12"/>
    <n v="817"/>
    <n v="9804"/>
    <x v="3"/>
    <x v="0"/>
  </r>
  <r>
    <s v="2024-05-05"/>
    <s v="May"/>
    <x v="9"/>
    <x v="2"/>
    <x v="6"/>
    <x v="2"/>
    <x v="2"/>
    <n v="6"/>
    <n v="211"/>
    <n v="1266"/>
    <x v="3"/>
    <x v="0"/>
  </r>
  <r>
    <s v="2024-09-11"/>
    <s v="September"/>
    <x v="2"/>
    <x v="2"/>
    <x v="7"/>
    <x v="7"/>
    <x v="1"/>
    <n v="9"/>
    <n v="991"/>
    <n v="8919"/>
    <x v="1"/>
    <x v="0"/>
  </r>
  <r>
    <s v="2024-08-26"/>
    <s v="August"/>
    <x v="5"/>
    <x v="2"/>
    <x v="4"/>
    <x v="3"/>
    <x v="1"/>
    <n v="15"/>
    <n v="757"/>
    <n v="11355"/>
    <x v="1"/>
    <x v="1"/>
  </r>
  <r>
    <s v="2024-12-19"/>
    <s v="December"/>
    <x v="1"/>
    <x v="1"/>
    <x v="0"/>
    <x v="3"/>
    <x v="1"/>
    <n v="7"/>
    <n v="837"/>
    <n v="5859"/>
    <x v="3"/>
    <x v="0"/>
  </r>
  <r>
    <s v="2024-05-01"/>
    <s v="May"/>
    <x v="9"/>
    <x v="3"/>
    <x v="0"/>
    <x v="2"/>
    <x v="2"/>
    <n v="10"/>
    <n v="94"/>
    <n v="940"/>
    <x v="3"/>
    <x v="1"/>
  </r>
  <r>
    <s v="2024-01-05"/>
    <s v="January"/>
    <x v="8"/>
    <x v="1"/>
    <x v="0"/>
    <x v="1"/>
    <x v="1"/>
    <n v="8"/>
    <n v="1293"/>
    <n v="10344"/>
    <x v="1"/>
    <x v="0"/>
  </r>
  <r>
    <s v="2024-11-21"/>
    <s v="November"/>
    <x v="0"/>
    <x v="3"/>
    <x v="6"/>
    <x v="6"/>
    <x v="1"/>
    <n v="4"/>
    <n v="1335"/>
    <n v="5340"/>
    <x v="2"/>
    <x v="1"/>
  </r>
  <r>
    <s v="2024-08-13"/>
    <s v="August"/>
    <x v="5"/>
    <x v="3"/>
    <x v="6"/>
    <x v="1"/>
    <x v="1"/>
    <n v="3"/>
    <n v="654"/>
    <n v="1962"/>
    <x v="1"/>
    <x v="1"/>
  </r>
  <r>
    <s v="2024-03-30"/>
    <s v="March"/>
    <x v="3"/>
    <x v="2"/>
    <x v="3"/>
    <x v="6"/>
    <x v="1"/>
    <n v="17"/>
    <n v="1077"/>
    <n v="18309"/>
    <x v="1"/>
    <x v="0"/>
  </r>
  <r>
    <s v="2024-05-11"/>
    <s v="May"/>
    <x v="9"/>
    <x v="3"/>
    <x v="3"/>
    <x v="4"/>
    <x v="2"/>
    <n v="4"/>
    <n v="1009"/>
    <n v="4036"/>
    <x v="2"/>
    <x v="0"/>
  </r>
  <r>
    <s v="2024-04-25"/>
    <s v="April"/>
    <x v="10"/>
    <x v="3"/>
    <x v="4"/>
    <x v="2"/>
    <x v="2"/>
    <n v="13"/>
    <n v="78"/>
    <n v="1014"/>
    <x v="1"/>
    <x v="0"/>
  </r>
  <r>
    <s v="2024-08-20"/>
    <s v="August"/>
    <x v="5"/>
    <x v="3"/>
    <x v="2"/>
    <x v="5"/>
    <x v="2"/>
    <n v="12"/>
    <n v="271"/>
    <n v="3252"/>
    <x v="0"/>
    <x v="1"/>
  </r>
  <r>
    <s v="2024-01-13"/>
    <s v="January"/>
    <x v="8"/>
    <x v="2"/>
    <x v="4"/>
    <x v="5"/>
    <x v="2"/>
    <n v="15"/>
    <n v="1485"/>
    <n v="22275"/>
    <x v="1"/>
    <x v="1"/>
  </r>
  <r>
    <s v="2024-02-29"/>
    <s v="February"/>
    <x v="4"/>
    <x v="0"/>
    <x v="1"/>
    <x v="7"/>
    <x v="1"/>
    <n v="10"/>
    <n v="1058"/>
    <n v="10580"/>
    <x v="2"/>
    <x v="0"/>
  </r>
  <r>
    <s v="2024-04-30"/>
    <s v="April"/>
    <x v="10"/>
    <x v="1"/>
    <x v="7"/>
    <x v="7"/>
    <x v="1"/>
    <n v="12"/>
    <n v="1423"/>
    <n v="17076"/>
    <x v="3"/>
    <x v="0"/>
  </r>
  <r>
    <s v="2024-07-31"/>
    <s v="July"/>
    <x v="6"/>
    <x v="1"/>
    <x v="2"/>
    <x v="0"/>
    <x v="0"/>
    <n v="9"/>
    <n v="117"/>
    <n v="1053"/>
    <x v="1"/>
    <x v="0"/>
  </r>
  <r>
    <s v="2024-08-15"/>
    <s v="August"/>
    <x v="5"/>
    <x v="2"/>
    <x v="3"/>
    <x v="4"/>
    <x v="2"/>
    <n v="4"/>
    <n v="1454"/>
    <n v="5816"/>
    <x v="1"/>
    <x v="1"/>
  </r>
  <r>
    <s v="2024-02-01"/>
    <s v="February"/>
    <x v="4"/>
    <x v="3"/>
    <x v="5"/>
    <x v="2"/>
    <x v="2"/>
    <n v="4"/>
    <n v="981"/>
    <n v="3924"/>
    <x v="2"/>
    <x v="0"/>
  </r>
  <r>
    <s v="2024-11-24"/>
    <s v="November"/>
    <x v="0"/>
    <x v="0"/>
    <x v="3"/>
    <x v="1"/>
    <x v="1"/>
    <n v="8"/>
    <n v="307"/>
    <n v="2456"/>
    <x v="0"/>
    <x v="0"/>
  </r>
  <r>
    <s v="2024-10-10"/>
    <s v="October"/>
    <x v="7"/>
    <x v="2"/>
    <x v="5"/>
    <x v="6"/>
    <x v="1"/>
    <n v="11"/>
    <n v="352"/>
    <n v="3872"/>
    <x v="2"/>
    <x v="1"/>
  </r>
  <r>
    <s v="2024-03-15"/>
    <s v="March"/>
    <x v="3"/>
    <x v="3"/>
    <x v="6"/>
    <x v="7"/>
    <x v="1"/>
    <n v="4"/>
    <n v="1403"/>
    <n v="5612"/>
    <x v="2"/>
    <x v="0"/>
  </r>
  <r>
    <s v="2024-01-08"/>
    <s v="January"/>
    <x v="8"/>
    <x v="2"/>
    <x v="3"/>
    <x v="5"/>
    <x v="2"/>
    <n v="1"/>
    <n v="406"/>
    <n v="406"/>
    <x v="1"/>
    <x v="0"/>
  </r>
  <r>
    <s v="2024-03-05"/>
    <s v="March"/>
    <x v="3"/>
    <x v="0"/>
    <x v="4"/>
    <x v="2"/>
    <x v="2"/>
    <n v="16"/>
    <n v="968"/>
    <n v="15488"/>
    <x v="1"/>
    <x v="0"/>
  </r>
  <r>
    <s v="2024-08-19"/>
    <s v="August"/>
    <x v="5"/>
    <x v="0"/>
    <x v="0"/>
    <x v="6"/>
    <x v="1"/>
    <n v="15"/>
    <n v="1367"/>
    <n v="20505"/>
    <x v="2"/>
    <x v="0"/>
  </r>
  <r>
    <s v="2024-09-02"/>
    <s v="September"/>
    <x v="2"/>
    <x v="1"/>
    <x v="4"/>
    <x v="2"/>
    <x v="2"/>
    <n v="16"/>
    <n v="958"/>
    <n v="15328"/>
    <x v="2"/>
    <x v="0"/>
  </r>
  <r>
    <s v="2024-06-13"/>
    <s v="June"/>
    <x v="11"/>
    <x v="0"/>
    <x v="6"/>
    <x v="7"/>
    <x v="1"/>
    <n v="9"/>
    <n v="1328"/>
    <n v="11952"/>
    <x v="1"/>
    <x v="1"/>
  </r>
  <r>
    <s v="2024-11-01"/>
    <s v="November"/>
    <x v="0"/>
    <x v="1"/>
    <x v="2"/>
    <x v="3"/>
    <x v="1"/>
    <n v="4"/>
    <n v="1487"/>
    <n v="5948"/>
    <x v="2"/>
    <x v="0"/>
  </r>
  <r>
    <s v="2024-08-08"/>
    <s v="August"/>
    <x v="5"/>
    <x v="2"/>
    <x v="2"/>
    <x v="4"/>
    <x v="2"/>
    <n v="11"/>
    <n v="978"/>
    <n v="10758"/>
    <x v="3"/>
    <x v="1"/>
  </r>
  <r>
    <s v="2024-02-18"/>
    <s v="February"/>
    <x v="4"/>
    <x v="1"/>
    <x v="3"/>
    <x v="5"/>
    <x v="2"/>
    <n v="9"/>
    <n v="816"/>
    <n v="7344"/>
    <x v="0"/>
    <x v="1"/>
  </r>
  <r>
    <s v="2024-02-04"/>
    <s v="February"/>
    <x v="4"/>
    <x v="0"/>
    <x v="4"/>
    <x v="0"/>
    <x v="0"/>
    <n v="14"/>
    <n v="247"/>
    <n v="3458"/>
    <x v="1"/>
    <x v="0"/>
  </r>
  <r>
    <s v="2024-10-11"/>
    <s v="October"/>
    <x v="7"/>
    <x v="3"/>
    <x v="4"/>
    <x v="1"/>
    <x v="1"/>
    <n v="14"/>
    <n v="774"/>
    <n v="10836"/>
    <x v="3"/>
    <x v="0"/>
  </r>
  <r>
    <s v="2024-05-27"/>
    <s v="May"/>
    <x v="9"/>
    <x v="3"/>
    <x v="4"/>
    <x v="3"/>
    <x v="1"/>
    <n v="19"/>
    <n v="1089"/>
    <n v="20691"/>
    <x v="0"/>
    <x v="0"/>
  </r>
  <r>
    <s v="2024-12-02"/>
    <s v="December"/>
    <x v="1"/>
    <x v="2"/>
    <x v="4"/>
    <x v="4"/>
    <x v="2"/>
    <n v="12"/>
    <n v="1189"/>
    <n v="14268"/>
    <x v="1"/>
    <x v="0"/>
  </r>
  <r>
    <s v="2024-05-22"/>
    <s v="May"/>
    <x v="9"/>
    <x v="1"/>
    <x v="1"/>
    <x v="6"/>
    <x v="1"/>
    <n v="20"/>
    <n v="1397"/>
    <n v="27940"/>
    <x v="1"/>
    <x v="0"/>
  </r>
  <r>
    <s v="2024-04-02"/>
    <s v="April"/>
    <x v="10"/>
    <x v="3"/>
    <x v="3"/>
    <x v="3"/>
    <x v="1"/>
    <n v="12"/>
    <n v="62"/>
    <n v="744"/>
    <x v="0"/>
    <x v="0"/>
  </r>
  <r>
    <s v="2024-10-16"/>
    <s v="October"/>
    <x v="7"/>
    <x v="0"/>
    <x v="6"/>
    <x v="2"/>
    <x v="2"/>
    <n v="1"/>
    <n v="237"/>
    <n v="237"/>
    <x v="0"/>
    <x v="1"/>
  </r>
  <r>
    <s v="2024-08-02"/>
    <s v="August"/>
    <x v="5"/>
    <x v="3"/>
    <x v="6"/>
    <x v="4"/>
    <x v="2"/>
    <n v="12"/>
    <n v="688"/>
    <n v="8256"/>
    <x v="1"/>
    <x v="0"/>
  </r>
  <r>
    <s v="2024-01-27"/>
    <s v="January"/>
    <x v="8"/>
    <x v="2"/>
    <x v="1"/>
    <x v="7"/>
    <x v="1"/>
    <n v="3"/>
    <n v="607"/>
    <n v="1821"/>
    <x v="3"/>
    <x v="1"/>
  </r>
  <r>
    <s v="2024-09-05"/>
    <s v="September"/>
    <x v="2"/>
    <x v="1"/>
    <x v="0"/>
    <x v="4"/>
    <x v="2"/>
    <n v="7"/>
    <n v="1099"/>
    <n v="7693"/>
    <x v="2"/>
    <x v="1"/>
  </r>
  <r>
    <s v="2024-08-08"/>
    <s v="August"/>
    <x v="5"/>
    <x v="3"/>
    <x v="7"/>
    <x v="0"/>
    <x v="0"/>
    <n v="17"/>
    <n v="1416"/>
    <n v="24072"/>
    <x v="1"/>
    <x v="0"/>
  </r>
  <r>
    <s v="2024-04-22"/>
    <s v="April"/>
    <x v="10"/>
    <x v="0"/>
    <x v="1"/>
    <x v="2"/>
    <x v="2"/>
    <n v="7"/>
    <n v="667"/>
    <n v="4669"/>
    <x v="0"/>
    <x v="0"/>
  </r>
  <r>
    <s v="2024-05-10"/>
    <s v="May"/>
    <x v="9"/>
    <x v="3"/>
    <x v="4"/>
    <x v="3"/>
    <x v="1"/>
    <n v="1"/>
    <n v="1068"/>
    <n v="1068"/>
    <x v="3"/>
    <x v="0"/>
  </r>
  <r>
    <s v="2024-03-07"/>
    <s v="March"/>
    <x v="3"/>
    <x v="2"/>
    <x v="3"/>
    <x v="2"/>
    <x v="2"/>
    <n v="3"/>
    <n v="863"/>
    <n v="2589"/>
    <x v="2"/>
    <x v="1"/>
  </r>
  <r>
    <s v="2024-01-10"/>
    <s v="January"/>
    <x v="8"/>
    <x v="0"/>
    <x v="3"/>
    <x v="4"/>
    <x v="2"/>
    <n v="19"/>
    <n v="929"/>
    <n v="17651"/>
    <x v="3"/>
    <x v="1"/>
  </r>
  <r>
    <s v="2024-05-28"/>
    <s v="May"/>
    <x v="9"/>
    <x v="1"/>
    <x v="1"/>
    <x v="0"/>
    <x v="0"/>
    <n v="11"/>
    <n v="401"/>
    <n v="4411"/>
    <x v="3"/>
    <x v="1"/>
  </r>
  <r>
    <s v="2024-02-15"/>
    <s v="February"/>
    <x v="4"/>
    <x v="0"/>
    <x v="5"/>
    <x v="2"/>
    <x v="2"/>
    <n v="14"/>
    <n v="1256"/>
    <n v="17584"/>
    <x v="3"/>
    <x v="0"/>
  </r>
  <r>
    <s v="2024-07-21"/>
    <s v="July"/>
    <x v="6"/>
    <x v="3"/>
    <x v="5"/>
    <x v="3"/>
    <x v="1"/>
    <n v="11"/>
    <n v="394"/>
    <n v="4334"/>
    <x v="2"/>
    <x v="0"/>
  </r>
  <r>
    <s v="2024-09-28"/>
    <s v="September"/>
    <x v="2"/>
    <x v="3"/>
    <x v="3"/>
    <x v="6"/>
    <x v="1"/>
    <n v="5"/>
    <n v="533"/>
    <n v="2665"/>
    <x v="2"/>
    <x v="0"/>
  </r>
  <r>
    <s v="2024-05-11"/>
    <s v="May"/>
    <x v="9"/>
    <x v="2"/>
    <x v="6"/>
    <x v="6"/>
    <x v="1"/>
    <n v="3"/>
    <n v="412"/>
    <n v="1236"/>
    <x v="3"/>
    <x v="1"/>
  </r>
  <r>
    <s v="2024-10-15"/>
    <s v="October"/>
    <x v="7"/>
    <x v="3"/>
    <x v="3"/>
    <x v="4"/>
    <x v="2"/>
    <n v="5"/>
    <n v="950"/>
    <n v="4750"/>
    <x v="2"/>
    <x v="1"/>
  </r>
  <r>
    <s v="2024-08-14"/>
    <s v="August"/>
    <x v="5"/>
    <x v="3"/>
    <x v="1"/>
    <x v="3"/>
    <x v="1"/>
    <n v="12"/>
    <n v="1089"/>
    <n v="13068"/>
    <x v="2"/>
    <x v="1"/>
  </r>
  <r>
    <s v="2024-08-24"/>
    <s v="August"/>
    <x v="5"/>
    <x v="0"/>
    <x v="1"/>
    <x v="4"/>
    <x v="2"/>
    <n v="12"/>
    <n v="637"/>
    <n v="7644"/>
    <x v="2"/>
    <x v="0"/>
  </r>
  <r>
    <s v="2024-11-10"/>
    <s v="November"/>
    <x v="0"/>
    <x v="1"/>
    <x v="1"/>
    <x v="2"/>
    <x v="2"/>
    <n v="15"/>
    <n v="1220"/>
    <n v="18300"/>
    <x v="0"/>
    <x v="1"/>
  </r>
  <r>
    <s v="2024-11-05"/>
    <s v="November"/>
    <x v="0"/>
    <x v="2"/>
    <x v="1"/>
    <x v="4"/>
    <x v="2"/>
    <n v="15"/>
    <n v="261"/>
    <n v="3915"/>
    <x v="1"/>
    <x v="0"/>
  </r>
  <r>
    <s v="2024-09-15"/>
    <s v="September"/>
    <x v="2"/>
    <x v="0"/>
    <x v="5"/>
    <x v="7"/>
    <x v="1"/>
    <n v="15"/>
    <n v="949"/>
    <n v="14235"/>
    <x v="0"/>
    <x v="1"/>
  </r>
  <r>
    <s v="2024-07-09"/>
    <s v="July"/>
    <x v="6"/>
    <x v="1"/>
    <x v="2"/>
    <x v="3"/>
    <x v="1"/>
    <n v="11"/>
    <n v="1440"/>
    <n v="15840"/>
    <x v="2"/>
    <x v="1"/>
  </r>
  <r>
    <s v="2024-02-03"/>
    <s v="February"/>
    <x v="4"/>
    <x v="0"/>
    <x v="2"/>
    <x v="5"/>
    <x v="2"/>
    <n v="10"/>
    <n v="566"/>
    <n v="5660"/>
    <x v="0"/>
    <x v="1"/>
  </r>
  <r>
    <s v="2024-02-11"/>
    <s v="February"/>
    <x v="4"/>
    <x v="3"/>
    <x v="0"/>
    <x v="7"/>
    <x v="1"/>
    <n v="13"/>
    <n v="314"/>
    <n v="4082"/>
    <x v="2"/>
    <x v="1"/>
  </r>
  <r>
    <s v="2024-10-13"/>
    <s v="October"/>
    <x v="7"/>
    <x v="3"/>
    <x v="6"/>
    <x v="2"/>
    <x v="2"/>
    <n v="17"/>
    <n v="241"/>
    <n v="4097"/>
    <x v="3"/>
    <x v="1"/>
  </r>
  <r>
    <s v="2024-01-10"/>
    <s v="January"/>
    <x v="8"/>
    <x v="3"/>
    <x v="6"/>
    <x v="5"/>
    <x v="2"/>
    <n v="7"/>
    <n v="749"/>
    <n v="5243"/>
    <x v="3"/>
    <x v="0"/>
  </r>
  <r>
    <s v="2024-04-25"/>
    <s v="April"/>
    <x v="10"/>
    <x v="2"/>
    <x v="4"/>
    <x v="7"/>
    <x v="1"/>
    <n v="10"/>
    <n v="257"/>
    <n v="2570"/>
    <x v="2"/>
    <x v="1"/>
  </r>
  <r>
    <s v="2024-11-12"/>
    <s v="November"/>
    <x v="0"/>
    <x v="1"/>
    <x v="6"/>
    <x v="7"/>
    <x v="1"/>
    <n v="6"/>
    <n v="420"/>
    <n v="2520"/>
    <x v="0"/>
    <x v="1"/>
  </r>
  <r>
    <s v="2024-01-23"/>
    <s v="January"/>
    <x v="8"/>
    <x v="3"/>
    <x v="5"/>
    <x v="2"/>
    <x v="2"/>
    <n v="15"/>
    <n v="1300"/>
    <n v="19500"/>
    <x v="1"/>
    <x v="1"/>
  </r>
  <r>
    <s v="2024-04-29"/>
    <s v="April"/>
    <x v="10"/>
    <x v="3"/>
    <x v="7"/>
    <x v="6"/>
    <x v="1"/>
    <n v="7"/>
    <n v="803"/>
    <n v="5621"/>
    <x v="3"/>
    <x v="1"/>
  </r>
  <r>
    <s v="2024-05-24"/>
    <s v="May"/>
    <x v="9"/>
    <x v="1"/>
    <x v="6"/>
    <x v="2"/>
    <x v="2"/>
    <n v="7"/>
    <n v="1288"/>
    <n v="9016"/>
    <x v="0"/>
    <x v="1"/>
  </r>
  <r>
    <s v="2024-01-27"/>
    <s v="January"/>
    <x v="8"/>
    <x v="3"/>
    <x v="4"/>
    <x v="4"/>
    <x v="2"/>
    <n v="17"/>
    <n v="305"/>
    <n v="5185"/>
    <x v="1"/>
    <x v="0"/>
  </r>
  <r>
    <s v="2024-03-23"/>
    <s v="March"/>
    <x v="3"/>
    <x v="1"/>
    <x v="6"/>
    <x v="3"/>
    <x v="1"/>
    <n v="14"/>
    <n v="237"/>
    <n v="3318"/>
    <x v="0"/>
    <x v="1"/>
  </r>
  <r>
    <s v="2024-06-27"/>
    <s v="June"/>
    <x v="11"/>
    <x v="1"/>
    <x v="1"/>
    <x v="1"/>
    <x v="1"/>
    <n v="13"/>
    <n v="1078"/>
    <n v="14014"/>
    <x v="1"/>
    <x v="0"/>
  </r>
  <r>
    <s v="2024-07-16"/>
    <s v="July"/>
    <x v="6"/>
    <x v="3"/>
    <x v="5"/>
    <x v="0"/>
    <x v="0"/>
    <n v="1"/>
    <n v="702"/>
    <n v="702"/>
    <x v="2"/>
    <x v="1"/>
  </r>
  <r>
    <s v="2024-03-15"/>
    <s v="March"/>
    <x v="3"/>
    <x v="0"/>
    <x v="0"/>
    <x v="7"/>
    <x v="1"/>
    <n v="16"/>
    <n v="1475"/>
    <n v="23600"/>
    <x v="0"/>
    <x v="1"/>
  </r>
  <r>
    <s v="2024-08-17"/>
    <s v="August"/>
    <x v="5"/>
    <x v="0"/>
    <x v="1"/>
    <x v="1"/>
    <x v="1"/>
    <n v="9"/>
    <n v="491"/>
    <n v="4419"/>
    <x v="0"/>
    <x v="1"/>
  </r>
  <r>
    <s v="2024-02-26"/>
    <s v="February"/>
    <x v="4"/>
    <x v="2"/>
    <x v="0"/>
    <x v="3"/>
    <x v="1"/>
    <n v="4"/>
    <n v="147"/>
    <n v="588"/>
    <x v="0"/>
    <x v="1"/>
  </r>
  <r>
    <s v="2024-11-23"/>
    <s v="November"/>
    <x v="0"/>
    <x v="0"/>
    <x v="4"/>
    <x v="4"/>
    <x v="2"/>
    <n v="16"/>
    <n v="1272"/>
    <n v="20352"/>
    <x v="2"/>
    <x v="0"/>
  </r>
  <r>
    <s v="2024-03-14"/>
    <s v="March"/>
    <x v="3"/>
    <x v="1"/>
    <x v="1"/>
    <x v="3"/>
    <x v="1"/>
    <n v="20"/>
    <n v="772"/>
    <n v="15440"/>
    <x v="0"/>
    <x v="1"/>
  </r>
  <r>
    <s v="2024-04-05"/>
    <s v="April"/>
    <x v="10"/>
    <x v="3"/>
    <x v="4"/>
    <x v="0"/>
    <x v="0"/>
    <n v="17"/>
    <n v="1164"/>
    <n v="19788"/>
    <x v="2"/>
    <x v="1"/>
  </r>
  <r>
    <s v="2024-08-28"/>
    <s v="August"/>
    <x v="5"/>
    <x v="1"/>
    <x v="3"/>
    <x v="1"/>
    <x v="1"/>
    <n v="9"/>
    <n v="83"/>
    <n v="747"/>
    <x v="1"/>
    <x v="0"/>
  </r>
  <r>
    <s v="2024-06-25"/>
    <s v="June"/>
    <x v="11"/>
    <x v="0"/>
    <x v="3"/>
    <x v="6"/>
    <x v="1"/>
    <n v="5"/>
    <n v="140"/>
    <n v="700"/>
    <x v="1"/>
    <x v="1"/>
  </r>
  <r>
    <s v="2024-11-25"/>
    <s v="November"/>
    <x v="0"/>
    <x v="1"/>
    <x v="7"/>
    <x v="7"/>
    <x v="1"/>
    <n v="6"/>
    <n v="326"/>
    <n v="1956"/>
    <x v="2"/>
    <x v="1"/>
  </r>
  <r>
    <s v="2024-01-19"/>
    <s v="January"/>
    <x v="8"/>
    <x v="2"/>
    <x v="1"/>
    <x v="3"/>
    <x v="1"/>
    <n v="7"/>
    <n v="135"/>
    <n v="945"/>
    <x v="1"/>
    <x v="1"/>
  </r>
  <r>
    <s v="2024-09-20"/>
    <s v="September"/>
    <x v="2"/>
    <x v="1"/>
    <x v="0"/>
    <x v="2"/>
    <x v="2"/>
    <n v="2"/>
    <n v="1374"/>
    <n v="2748"/>
    <x v="0"/>
    <x v="1"/>
  </r>
  <r>
    <s v="2024-07-01"/>
    <s v="July"/>
    <x v="6"/>
    <x v="3"/>
    <x v="0"/>
    <x v="1"/>
    <x v="1"/>
    <n v="4"/>
    <n v="803"/>
    <n v="3212"/>
    <x v="3"/>
    <x v="1"/>
  </r>
  <r>
    <s v="2024-08-13"/>
    <s v="August"/>
    <x v="5"/>
    <x v="3"/>
    <x v="6"/>
    <x v="2"/>
    <x v="2"/>
    <n v="16"/>
    <n v="1467"/>
    <n v="23472"/>
    <x v="3"/>
    <x v="1"/>
  </r>
  <r>
    <s v="2024-09-22"/>
    <s v="September"/>
    <x v="2"/>
    <x v="0"/>
    <x v="2"/>
    <x v="3"/>
    <x v="1"/>
    <n v="3"/>
    <n v="931"/>
    <n v="2793"/>
    <x v="0"/>
    <x v="1"/>
  </r>
  <r>
    <s v="2024-06-13"/>
    <s v="June"/>
    <x v="11"/>
    <x v="0"/>
    <x v="3"/>
    <x v="0"/>
    <x v="0"/>
    <n v="10"/>
    <n v="677"/>
    <n v="6770"/>
    <x v="3"/>
    <x v="1"/>
  </r>
  <r>
    <s v="2024-03-26"/>
    <s v="March"/>
    <x v="3"/>
    <x v="3"/>
    <x v="7"/>
    <x v="4"/>
    <x v="2"/>
    <n v="2"/>
    <n v="772"/>
    <n v="1544"/>
    <x v="3"/>
    <x v="1"/>
  </r>
  <r>
    <s v="2024-11-23"/>
    <s v="November"/>
    <x v="0"/>
    <x v="0"/>
    <x v="2"/>
    <x v="1"/>
    <x v="1"/>
    <n v="12"/>
    <n v="1100"/>
    <n v="13200"/>
    <x v="0"/>
    <x v="0"/>
  </r>
  <r>
    <s v="2024-03-14"/>
    <s v="March"/>
    <x v="3"/>
    <x v="0"/>
    <x v="6"/>
    <x v="4"/>
    <x v="2"/>
    <n v="3"/>
    <n v="533"/>
    <n v="1599"/>
    <x v="1"/>
    <x v="1"/>
  </r>
  <r>
    <s v="2024-07-15"/>
    <s v="July"/>
    <x v="6"/>
    <x v="2"/>
    <x v="7"/>
    <x v="1"/>
    <x v="1"/>
    <n v="12"/>
    <n v="811"/>
    <n v="9732"/>
    <x v="3"/>
    <x v="0"/>
  </r>
  <r>
    <s v="2024-10-20"/>
    <s v="October"/>
    <x v="7"/>
    <x v="3"/>
    <x v="2"/>
    <x v="7"/>
    <x v="1"/>
    <n v="11"/>
    <n v="1380"/>
    <n v="15180"/>
    <x v="1"/>
    <x v="0"/>
  </r>
  <r>
    <s v="2024-02-28"/>
    <s v="February"/>
    <x v="4"/>
    <x v="2"/>
    <x v="7"/>
    <x v="1"/>
    <x v="1"/>
    <n v="17"/>
    <n v="842"/>
    <n v="14314"/>
    <x v="2"/>
    <x v="1"/>
  </r>
  <r>
    <s v="2024-05-13"/>
    <s v="May"/>
    <x v="9"/>
    <x v="2"/>
    <x v="0"/>
    <x v="4"/>
    <x v="2"/>
    <n v="16"/>
    <n v="459"/>
    <n v="7344"/>
    <x v="2"/>
    <x v="0"/>
  </r>
  <r>
    <s v="2024-02-07"/>
    <s v="February"/>
    <x v="4"/>
    <x v="2"/>
    <x v="7"/>
    <x v="4"/>
    <x v="2"/>
    <n v="3"/>
    <n v="1446"/>
    <n v="4338"/>
    <x v="1"/>
    <x v="1"/>
  </r>
  <r>
    <s v="2024-12-29"/>
    <s v="December"/>
    <x v="1"/>
    <x v="3"/>
    <x v="0"/>
    <x v="0"/>
    <x v="0"/>
    <n v="6"/>
    <n v="1484"/>
    <n v="8904"/>
    <x v="0"/>
    <x v="1"/>
  </r>
  <r>
    <s v="2024-09-17"/>
    <s v="September"/>
    <x v="2"/>
    <x v="0"/>
    <x v="5"/>
    <x v="6"/>
    <x v="1"/>
    <n v="5"/>
    <n v="534"/>
    <n v="2670"/>
    <x v="3"/>
    <x v="0"/>
  </r>
  <r>
    <s v="2024-07-03"/>
    <s v="July"/>
    <x v="6"/>
    <x v="1"/>
    <x v="6"/>
    <x v="5"/>
    <x v="2"/>
    <n v="20"/>
    <n v="226"/>
    <n v="4520"/>
    <x v="2"/>
    <x v="1"/>
  </r>
  <r>
    <s v="2024-07-22"/>
    <s v="July"/>
    <x v="6"/>
    <x v="1"/>
    <x v="2"/>
    <x v="4"/>
    <x v="2"/>
    <n v="19"/>
    <n v="201"/>
    <n v="3819"/>
    <x v="0"/>
    <x v="1"/>
  </r>
  <r>
    <s v="2024-11-24"/>
    <s v="November"/>
    <x v="0"/>
    <x v="1"/>
    <x v="7"/>
    <x v="0"/>
    <x v="0"/>
    <n v="17"/>
    <n v="755"/>
    <n v="12835"/>
    <x v="0"/>
    <x v="0"/>
  </r>
  <r>
    <s v="2024-03-07"/>
    <s v="March"/>
    <x v="3"/>
    <x v="0"/>
    <x v="4"/>
    <x v="2"/>
    <x v="2"/>
    <n v="17"/>
    <n v="363"/>
    <n v="6171"/>
    <x v="1"/>
    <x v="0"/>
  </r>
  <r>
    <s v="2024-03-23"/>
    <s v="March"/>
    <x v="3"/>
    <x v="2"/>
    <x v="3"/>
    <x v="5"/>
    <x v="2"/>
    <n v="17"/>
    <n v="631"/>
    <n v="10727"/>
    <x v="2"/>
    <x v="1"/>
  </r>
  <r>
    <s v="2024-04-10"/>
    <s v="April"/>
    <x v="10"/>
    <x v="2"/>
    <x v="0"/>
    <x v="3"/>
    <x v="1"/>
    <n v="20"/>
    <n v="1142"/>
    <n v="22840"/>
    <x v="2"/>
    <x v="0"/>
  </r>
  <r>
    <s v="2024-10-30"/>
    <s v="October"/>
    <x v="7"/>
    <x v="2"/>
    <x v="3"/>
    <x v="7"/>
    <x v="1"/>
    <n v="19"/>
    <n v="134"/>
    <n v="2546"/>
    <x v="2"/>
    <x v="0"/>
  </r>
  <r>
    <s v="2024-01-24"/>
    <s v="January"/>
    <x v="8"/>
    <x v="2"/>
    <x v="2"/>
    <x v="3"/>
    <x v="1"/>
    <n v="20"/>
    <n v="1358"/>
    <n v="27160"/>
    <x v="2"/>
    <x v="1"/>
  </r>
  <r>
    <s v="2024-11-17"/>
    <s v="November"/>
    <x v="0"/>
    <x v="3"/>
    <x v="7"/>
    <x v="3"/>
    <x v="1"/>
    <n v="8"/>
    <n v="1452"/>
    <n v="11616"/>
    <x v="3"/>
    <x v="1"/>
  </r>
  <r>
    <s v="2024-08-20"/>
    <s v="August"/>
    <x v="5"/>
    <x v="0"/>
    <x v="6"/>
    <x v="0"/>
    <x v="0"/>
    <n v="15"/>
    <n v="901"/>
    <n v="13515"/>
    <x v="3"/>
    <x v="1"/>
  </r>
  <r>
    <s v="2024-04-14"/>
    <s v="April"/>
    <x v="10"/>
    <x v="2"/>
    <x v="3"/>
    <x v="5"/>
    <x v="2"/>
    <n v="11"/>
    <n v="757"/>
    <n v="8327"/>
    <x v="3"/>
    <x v="0"/>
  </r>
  <r>
    <s v="2024-07-08"/>
    <s v="July"/>
    <x v="6"/>
    <x v="3"/>
    <x v="5"/>
    <x v="0"/>
    <x v="0"/>
    <n v="15"/>
    <n v="300"/>
    <n v="4500"/>
    <x v="1"/>
    <x v="1"/>
  </r>
  <r>
    <s v="2024-05-06"/>
    <s v="May"/>
    <x v="9"/>
    <x v="0"/>
    <x v="1"/>
    <x v="7"/>
    <x v="1"/>
    <n v="10"/>
    <n v="836"/>
    <n v="8360"/>
    <x v="3"/>
    <x v="0"/>
  </r>
  <r>
    <s v="2024-03-22"/>
    <s v="March"/>
    <x v="3"/>
    <x v="3"/>
    <x v="5"/>
    <x v="5"/>
    <x v="2"/>
    <n v="6"/>
    <n v="1070"/>
    <n v="6420"/>
    <x v="3"/>
    <x v="1"/>
  </r>
  <r>
    <s v="2024-06-06"/>
    <s v="June"/>
    <x v="11"/>
    <x v="0"/>
    <x v="4"/>
    <x v="4"/>
    <x v="2"/>
    <n v="13"/>
    <n v="1085"/>
    <n v="14105"/>
    <x v="3"/>
    <x v="0"/>
  </r>
  <r>
    <s v="2024-04-20"/>
    <s v="April"/>
    <x v="10"/>
    <x v="0"/>
    <x v="1"/>
    <x v="5"/>
    <x v="2"/>
    <n v="10"/>
    <n v="1063"/>
    <n v="10630"/>
    <x v="3"/>
    <x v="1"/>
  </r>
  <r>
    <s v="2024-10-01"/>
    <s v="October"/>
    <x v="7"/>
    <x v="0"/>
    <x v="2"/>
    <x v="1"/>
    <x v="1"/>
    <n v="5"/>
    <n v="591"/>
    <n v="2955"/>
    <x v="1"/>
    <x v="1"/>
  </r>
  <r>
    <s v="2024-07-06"/>
    <s v="July"/>
    <x v="6"/>
    <x v="1"/>
    <x v="1"/>
    <x v="1"/>
    <x v="1"/>
    <n v="19"/>
    <n v="1200"/>
    <n v="22800"/>
    <x v="0"/>
    <x v="1"/>
  </r>
  <r>
    <s v="2024-10-10"/>
    <s v="October"/>
    <x v="7"/>
    <x v="0"/>
    <x v="2"/>
    <x v="3"/>
    <x v="1"/>
    <n v="17"/>
    <n v="972"/>
    <n v="16524"/>
    <x v="1"/>
    <x v="0"/>
  </r>
  <r>
    <s v="2024-03-06"/>
    <s v="March"/>
    <x v="3"/>
    <x v="1"/>
    <x v="3"/>
    <x v="0"/>
    <x v="0"/>
    <n v="11"/>
    <n v="1192"/>
    <n v="13112"/>
    <x v="1"/>
    <x v="0"/>
  </r>
  <r>
    <s v="2024-04-11"/>
    <s v="April"/>
    <x v="10"/>
    <x v="0"/>
    <x v="1"/>
    <x v="2"/>
    <x v="2"/>
    <n v="2"/>
    <n v="330"/>
    <n v="660"/>
    <x v="1"/>
    <x v="1"/>
  </r>
  <r>
    <s v="2024-09-22"/>
    <s v="September"/>
    <x v="2"/>
    <x v="2"/>
    <x v="6"/>
    <x v="4"/>
    <x v="2"/>
    <n v="11"/>
    <n v="1305"/>
    <n v="14355"/>
    <x v="1"/>
    <x v="0"/>
  </r>
  <r>
    <s v="2024-07-20"/>
    <s v="July"/>
    <x v="6"/>
    <x v="3"/>
    <x v="7"/>
    <x v="3"/>
    <x v="1"/>
    <n v="19"/>
    <n v="663"/>
    <n v="12597"/>
    <x v="3"/>
    <x v="0"/>
  </r>
  <r>
    <s v="2024-07-07"/>
    <s v="July"/>
    <x v="6"/>
    <x v="0"/>
    <x v="2"/>
    <x v="5"/>
    <x v="2"/>
    <n v="19"/>
    <n v="680"/>
    <n v="12920"/>
    <x v="2"/>
    <x v="1"/>
  </r>
  <r>
    <s v="2024-05-15"/>
    <s v="May"/>
    <x v="9"/>
    <x v="0"/>
    <x v="7"/>
    <x v="6"/>
    <x v="1"/>
    <n v="6"/>
    <n v="1123"/>
    <n v="6738"/>
    <x v="3"/>
    <x v="0"/>
  </r>
  <r>
    <s v="2024-12-14"/>
    <s v="December"/>
    <x v="1"/>
    <x v="0"/>
    <x v="4"/>
    <x v="6"/>
    <x v="1"/>
    <n v="7"/>
    <n v="88"/>
    <n v="616"/>
    <x v="3"/>
    <x v="1"/>
  </r>
  <r>
    <s v="2024-08-02"/>
    <s v="August"/>
    <x v="5"/>
    <x v="1"/>
    <x v="5"/>
    <x v="7"/>
    <x v="1"/>
    <n v="14"/>
    <n v="1077"/>
    <n v="15078"/>
    <x v="3"/>
    <x v="0"/>
  </r>
  <r>
    <s v="2024-12-27"/>
    <s v="December"/>
    <x v="1"/>
    <x v="2"/>
    <x v="3"/>
    <x v="7"/>
    <x v="1"/>
    <n v="16"/>
    <n v="1126"/>
    <n v="18016"/>
    <x v="3"/>
    <x v="1"/>
  </r>
  <r>
    <s v="2024-03-29"/>
    <s v="March"/>
    <x v="3"/>
    <x v="3"/>
    <x v="3"/>
    <x v="4"/>
    <x v="2"/>
    <n v="9"/>
    <n v="1299"/>
    <n v="11691"/>
    <x v="3"/>
    <x v="0"/>
  </r>
  <r>
    <s v="2024-05-06"/>
    <s v="May"/>
    <x v="9"/>
    <x v="3"/>
    <x v="5"/>
    <x v="3"/>
    <x v="1"/>
    <n v="10"/>
    <n v="641"/>
    <n v="6410"/>
    <x v="0"/>
    <x v="1"/>
  </r>
  <r>
    <s v="2024-06-11"/>
    <s v="June"/>
    <x v="11"/>
    <x v="3"/>
    <x v="0"/>
    <x v="4"/>
    <x v="2"/>
    <n v="10"/>
    <n v="299"/>
    <n v="2990"/>
    <x v="3"/>
    <x v="1"/>
  </r>
  <r>
    <s v="2024-06-25"/>
    <s v="June"/>
    <x v="11"/>
    <x v="3"/>
    <x v="1"/>
    <x v="7"/>
    <x v="1"/>
    <n v="10"/>
    <n v="211"/>
    <n v="2110"/>
    <x v="1"/>
    <x v="1"/>
  </r>
  <r>
    <s v="2024-12-01"/>
    <s v="December"/>
    <x v="1"/>
    <x v="1"/>
    <x v="5"/>
    <x v="3"/>
    <x v="1"/>
    <n v="7"/>
    <n v="1153"/>
    <n v="8071"/>
    <x v="1"/>
    <x v="1"/>
  </r>
  <r>
    <s v="2024-03-11"/>
    <s v="March"/>
    <x v="3"/>
    <x v="2"/>
    <x v="5"/>
    <x v="0"/>
    <x v="0"/>
    <n v="2"/>
    <n v="1421"/>
    <n v="2842"/>
    <x v="0"/>
    <x v="0"/>
  </r>
  <r>
    <s v="2024-01-27"/>
    <s v="January"/>
    <x v="8"/>
    <x v="1"/>
    <x v="3"/>
    <x v="0"/>
    <x v="0"/>
    <n v="16"/>
    <n v="255"/>
    <n v="4080"/>
    <x v="0"/>
    <x v="0"/>
  </r>
  <r>
    <s v="2024-10-08"/>
    <s v="October"/>
    <x v="7"/>
    <x v="1"/>
    <x v="7"/>
    <x v="7"/>
    <x v="1"/>
    <n v="16"/>
    <n v="1382"/>
    <n v="22112"/>
    <x v="0"/>
    <x v="1"/>
  </r>
  <r>
    <s v="2024-06-13"/>
    <s v="June"/>
    <x v="11"/>
    <x v="0"/>
    <x v="4"/>
    <x v="3"/>
    <x v="1"/>
    <n v="19"/>
    <n v="525"/>
    <n v="9975"/>
    <x v="2"/>
    <x v="0"/>
  </r>
  <r>
    <s v="2024-08-01"/>
    <s v="August"/>
    <x v="5"/>
    <x v="0"/>
    <x v="2"/>
    <x v="7"/>
    <x v="1"/>
    <n v="16"/>
    <n v="431"/>
    <n v="6896"/>
    <x v="1"/>
    <x v="0"/>
  </r>
  <r>
    <s v="2024-01-05"/>
    <s v="January"/>
    <x v="8"/>
    <x v="0"/>
    <x v="3"/>
    <x v="3"/>
    <x v="1"/>
    <n v="10"/>
    <n v="980"/>
    <n v="9800"/>
    <x v="3"/>
    <x v="0"/>
  </r>
  <r>
    <s v="2024-09-15"/>
    <s v="September"/>
    <x v="2"/>
    <x v="3"/>
    <x v="5"/>
    <x v="4"/>
    <x v="2"/>
    <n v="4"/>
    <n v="727"/>
    <n v="2908"/>
    <x v="0"/>
    <x v="1"/>
  </r>
  <r>
    <s v="2024-11-27"/>
    <s v="November"/>
    <x v="0"/>
    <x v="2"/>
    <x v="1"/>
    <x v="3"/>
    <x v="1"/>
    <n v="11"/>
    <n v="654"/>
    <n v="7194"/>
    <x v="0"/>
    <x v="0"/>
  </r>
  <r>
    <s v="2024-11-08"/>
    <s v="November"/>
    <x v="0"/>
    <x v="1"/>
    <x v="3"/>
    <x v="2"/>
    <x v="2"/>
    <n v="3"/>
    <n v="870"/>
    <n v="2610"/>
    <x v="2"/>
    <x v="0"/>
  </r>
  <r>
    <s v="2024-03-12"/>
    <s v="March"/>
    <x v="3"/>
    <x v="3"/>
    <x v="5"/>
    <x v="4"/>
    <x v="2"/>
    <n v="1"/>
    <n v="584"/>
    <n v="584"/>
    <x v="3"/>
    <x v="0"/>
  </r>
  <r>
    <s v="2024-08-16"/>
    <s v="August"/>
    <x v="5"/>
    <x v="3"/>
    <x v="0"/>
    <x v="3"/>
    <x v="1"/>
    <n v="19"/>
    <n v="1223"/>
    <n v="23237"/>
    <x v="2"/>
    <x v="1"/>
  </r>
  <r>
    <s v="2024-11-30"/>
    <s v="November"/>
    <x v="0"/>
    <x v="2"/>
    <x v="1"/>
    <x v="5"/>
    <x v="2"/>
    <n v="4"/>
    <n v="1003"/>
    <n v="4012"/>
    <x v="1"/>
    <x v="0"/>
  </r>
  <r>
    <s v="2024-07-26"/>
    <s v="July"/>
    <x v="6"/>
    <x v="0"/>
    <x v="0"/>
    <x v="3"/>
    <x v="1"/>
    <n v="12"/>
    <n v="1308"/>
    <n v="15696"/>
    <x v="0"/>
    <x v="0"/>
  </r>
  <r>
    <s v="2024-03-09"/>
    <s v="March"/>
    <x v="3"/>
    <x v="2"/>
    <x v="7"/>
    <x v="4"/>
    <x v="2"/>
    <n v="20"/>
    <n v="815"/>
    <n v="16300"/>
    <x v="3"/>
    <x v="1"/>
  </r>
  <r>
    <s v="2024-10-02"/>
    <s v="October"/>
    <x v="7"/>
    <x v="2"/>
    <x v="4"/>
    <x v="6"/>
    <x v="1"/>
    <n v="17"/>
    <n v="964"/>
    <n v="16388"/>
    <x v="1"/>
    <x v="0"/>
  </r>
  <r>
    <s v="2024-10-15"/>
    <s v="October"/>
    <x v="7"/>
    <x v="0"/>
    <x v="5"/>
    <x v="0"/>
    <x v="0"/>
    <n v="19"/>
    <n v="1149"/>
    <n v="21831"/>
    <x v="0"/>
    <x v="0"/>
  </r>
  <r>
    <s v="2024-06-16"/>
    <s v="June"/>
    <x v="11"/>
    <x v="0"/>
    <x v="5"/>
    <x v="4"/>
    <x v="2"/>
    <n v="19"/>
    <n v="1051"/>
    <n v="19969"/>
    <x v="2"/>
    <x v="1"/>
  </r>
  <r>
    <s v="2024-01-29"/>
    <s v="January"/>
    <x v="8"/>
    <x v="2"/>
    <x v="2"/>
    <x v="4"/>
    <x v="2"/>
    <n v="15"/>
    <n v="1204"/>
    <n v="18060"/>
    <x v="2"/>
    <x v="1"/>
  </r>
  <r>
    <s v="2024-12-10"/>
    <s v="December"/>
    <x v="1"/>
    <x v="0"/>
    <x v="2"/>
    <x v="3"/>
    <x v="1"/>
    <n v="9"/>
    <n v="56"/>
    <n v="504"/>
    <x v="0"/>
    <x v="0"/>
  </r>
  <r>
    <s v="2024-01-24"/>
    <s v="January"/>
    <x v="8"/>
    <x v="3"/>
    <x v="4"/>
    <x v="2"/>
    <x v="2"/>
    <n v="18"/>
    <n v="173"/>
    <n v="3114"/>
    <x v="2"/>
    <x v="1"/>
  </r>
  <r>
    <s v="2024-01-17"/>
    <s v="January"/>
    <x v="8"/>
    <x v="1"/>
    <x v="6"/>
    <x v="3"/>
    <x v="1"/>
    <n v="5"/>
    <n v="1363"/>
    <n v="6815"/>
    <x v="3"/>
    <x v="1"/>
  </r>
  <r>
    <s v="2024-07-14"/>
    <s v="July"/>
    <x v="6"/>
    <x v="1"/>
    <x v="2"/>
    <x v="4"/>
    <x v="2"/>
    <n v="3"/>
    <n v="1448"/>
    <n v="4344"/>
    <x v="0"/>
    <x v="1"/>
  </r>
  <r>
    <s v="2024-03-01"/>
    <s v="March"/>
    <x v="3"/>
    <x v="1"/>
    <x v="6"/>
    <x v="7"/>
    <x v="1"/>
    <n v="8"/>
    <n v="57"/>
    <n v="456"/>
    <x v="2"/>
    <x v="1"/>
  </r>
  <r>
    <s v="2024-08-25"/>
    <s v="August"/>
    <x v="5"/>
    <x v="1"/>
    <x v="5"/>
    <x v="2"/>
    <x v="2"/>
    <n v="8"/>
    <n v="993"/>
    <n v="7944"/>
    <x v="1"/>
    <x v="0"/>
  </r>
  <r>
    <s v="2024-05-21"/>
    <s v="May"/>
    <x v="9"/>
    <x v="0"/>
    <x v="1"/>
    <x v="6"/>
    <x v="1"/>
    <n v="14"/>
    <n v="1309"/>
    <n v="18326"/>
    <x v="2"/>
    <x v="0"/>
  </r>
  <r>
    <s v="2024-04-15"/>
    <s v="April"/>
    <x v="10"/>
    <x v="0"/>
    <x v="1"/>
    <x v="0"/>
    <x v="0"/>
    <n v="15"/>
    <n v="1274"/>
    <n v="19110"/>
    <x v="2"/>
    <x v="0"/>
  </r>
  <r>
    <s v="2024-01-23"/>
    <s v="January"/>
    <x v="8"/>
    <x v="1"/>
    <x v="5"/>
    <x v="2"/>
    <x v="2"/>
    <n v="18"/>
    <n v="494"/>
    <n v="8892"/>
    <x v="2"/>
    <x v="0"/>
  </r>
  <r>
    <s v="2024-09-14"/>
    <s v="September"/>
    <x v="2"/>
    <x v="2"/>
    <x v="3"/>
    <x v="3"/>
    <x v="1"/>
    <n v="19"/>
    <n v="1274"/>
    <n v="24206"/>
    <x v="1"/>
    <x v="0"/>
  </r>
  <r>
    <s v="2024-06-03"/>
    <s v="June"/>
    <x v="11"/>
    <x v="2"/>
    <x v="2"/>
    <x v="7"/>
    <x v="1"/>
    <n v="10"/>
    <n v="613"/>
    <n v="6130"/>
    <x v="2"/>
    <x v="0"/>
  </r>
  <r>
    <s v="2024-11-16"/>
    <s v="November"/>
    <x v="0"/>
    <x v="1"/>
    <x v="1"/>
    <x v="2"/>
    <x v="2"/>
    <n v="12"/>
    <n v="1367"/>
    <n v="16404"/>
    <x v="3"/>
    <x v="1"/>
  </r>
  <r>
    <s v="2024-12-22"/>
    <s v="December"/>
    <x v="1"/>
    <x v="1"/>
    <x v="6"/>
    <x v="2"/>
    <x v="2"/>
    <n v="10"/>
    <n v="820"/>
    <n v="8200"/>
    <x v="0"/>
    <x v="1"/>
  </r>
  <r>
    <s v="2024-05-03"/>
    <s v="May"/>
    <x v="9"/>
    <x v="3"/>
    <x v="6"/>
    <x v="6"/>
    <x v="1"/>
    <n v="15"/>
    <n v="168"/>
    <n v="2520"/>
    <x v="3"/>
    <x v="1"/>
  </r>
  <r>
    <s v="2024-10-12"/>
    <s v="October"/>
    <x v="7"/>
    <x v="1"/>
    <x v="5"/>
    <x v="7"/>
    <x v="1"/>
    <n v="9"/>
    <n v="466"/>
    <n v="4194"/>
    <x v="1"/>
    <x v="0"/>
  </r>
  <r>
    <s v="2024-08-18"/>
    <s v="August"/>
    <x v="5"/>
    <x v="0"/>
    <x v="5"/>
    <x v="5"/>
    <x v="2"/>
    <n v="2"/>
    <n v="599"/>
    <n v="1198"/>
    <x v="3"/>
    <x v="0"/>
  </r>
  <r>
    <s v="2024-02-07"/>
    <s v="February"/>
    <x v="4"/>
    <x v="2"/>
    <x v="7"/>
    <x v="6"/>
    <x v="1"/>
    <n v="7"/>
    <n v="731"/>
    <n v="5117"/>
    <x v="1"/>
    <x v="0"/>
  </r>
  <r>
    <s v="2024-04-18"/>
    <s v="April"/>
    <x v="10"/>
    <x v="0"/>
    <x v="7"/>
    <x v="6"/>
    <x v="1"/>
    <n v="8"/>
    <n v="1474"/>
    <n v="11792"/>
    <x v="0"/>
    <x v="1"/>
  </r>
  <r>
    <s v="2024-05-02"/>
    <s v="May"/>
    <x v="9"/>
    <x v="3"/>
    <x v="2"/>
    <x v="5"/>
    <x v="2"/>
    <n v="15"/>
    <n v="1142"/>
    <n v="17130"/>
    <x v="1"/>
    <x v="1"/>
  </r>
  <r>
    <s v="2024-05-13"/>
    <s v="May"/>
    <x v="9"/>
    <x v="1"/>
    <x v="7"/>
    <x v="5"/>
    <x v="2"/>
    <n v="4"/>
    <n v="1011"/>
    <n v="4044"/>
    <x v="1"/>
    <x v="0"/>
  </r>
  <r>
    <s v="2024-07-08"/>
    <s v="July"/>
    <x v="6"/>
    <x v="1"/>
    <x v="1"/>
    <x v="5"/>
    <x v="2"/>
    <n v="19"/>
    <n v="503"/>
    <n v="9557"/>
    <x v="0"/>
    <x v="0"/>
  </r>
  <r>
    <s v="2024-05-13"/>
    <s v="May"/>
    <x v="9"/>
    <x v="3"/>
    <x v="6"/>
    <x v="2"/>
    <x v="2"/>
    <n v="7"/>
    <n v="725"/>
    <n v="5075"/>
    <x v="0"/>
    <x v="1"/>
  </r>
  <r>
    <s v="2024-10-18"/>
    <s v="October"/>
    <x v="7"/>
    <x v="1"/>
    <x v="3"/>
    <x v="6"/>
    <x v="1"/>
    <n v="9"/>
    <n v="1050"/>
    <n v="9450"/>
    <x v="3"/>
    <x v="1"/>
  </r>
  <r>
    <s v="2024-03-27"/>
    <s v="March"/>
    <x v="3"/>
    <x v="2"/>
    <x v="6"/>
    <x v="5"/>
    <x v="2"/>
    <n v="18"/>
    <n v="1050"/>
    <n v="18900"/>
    <x v="0"/>
    <x v="0"/>
  </r>
  <r>
    <s v="2024-09-25"/>
    <s v="September"/>
    <x v="2"/>
    <x v="0"/>
    <x v="1"/>
    <x v="1"/>
    <x v="1"/>
    <n v="1"/>
    <n v="894"/>
    <n v="894"/>
    <x v="0"/>
    <x v="0"/>
  </r>
  <r>
    <s v="2024-02-04"/>
    <s v="February"/>
    <x v="4"/>
    <x v="0"/>
    <x v="5"/>
    <x v="7"/>
    <x v="1"/>
    <n v="17"/>
    <n v="983"/>
    <n v="16711"/>
    <x v="1"/>
    <x v="0"/>
  </r>
  <r>
    <s v="2024-11-12"/>
    <s v="November"/>
    <x v="0"/>
    <x v="1"/>
    <x v="1"/>
    <x v="4"/>
    <x v="2"/>
    <n v="1"/>
    <n v="1139"/>
    <n v="1139"/>
    <x v="3"/>
    <x v="0"/>
  </r>
  <r>
    <s v="2024-01-09"/>
    <s v="January"/>
    <x v="8"/>
    <x v="3"/>
    <x v="1"/>
    <x v="3"/>
    <x v="1"/>
    <n v="17"/>
    <n v="1479"/>
    <n v="25143"/>
    <x v="3"/>
    <x v="0"/>
  </r>
  <r>
    <s v="2024-02-24"/>
    <s v="February"/>
    <x v="4"/>
    <x v="2"/>
    <x v="5"/>
    <x v="0"/>
    <x v="0"/>
    <n v="7"/>
    <n v="1319"/>
    <n v="9233"/>
    <x v="1"/>
    <x v="1"/>
  </r>
  <r>
    <s v="2024-05-16"/>
    <s v="May"/>
    <x v="9"/>
    <x v="0"/>
    <x v="3"/>
    <x v="2"/>
    <x v="2"/>
    <n v="13"/>
    <n v="990"/>
    <n v="12870"/>
    <x v="0"/>
    <x v="0"/>
  </r>
  <r>
    <s v="2024-06-02"/>
    <s v="June"/>
    <x v="11"/>
    <x v="0"/>
    <x v="4"/>
    <x v="0"/>
    <x v="0"/>
    <n v="13"/>
    <n v="826"/>
    <n v="10738"/>
    <x v="3"/>
    <x v="1"/>
  </r>
  <r>
    <s v="2024-01-29"/>
    <s v="January"/>
    <x v="8"/>
    <x v="2"/>
    <x v="4"/>
    <x v="1"/>
    <x v="1"/>
    <n v="16"/>
    <n v="938"/>
    <n v="15008"/>
    <x v="1"/>
    <x v="0"/>
  </r>
  <r>
    <s v="2024-09-27"/>
    <s v="September"/>
    <x v="2"/>
    <x v="2"/>
    <x v="5"/>
    <x v="1"/>
    <x v="1"/>
    <n v="19"/>
    <n v="1023"/>
    <n v="19437"/>
    <x v="1"/>
    <x v="0"/>
  </r>
  <r>
    <s v="2024-02-08"/>
    <s v="February"/>
    <x v="4"/>
    <x v="0"/>
    <x v="6"/>
    <x v="3"/>
    <x v="1"/>
    <n v="11"/>
    <n v="82"/>
    <n v="902"/>
    <x v="0"/>
    <x v="0"/>
  </r>
  <r>
    <s v="2024-12-30"/>
    <s v="December"/>
    <x v="1"/>
    <x v="0"/>
    <x v="0"/>
    <x v="2"/>
    <x v="2"/>
    <n v="6"/>
    <n v="1204"/>
    <n v="7224"/>
    <x v="0"/>
    <x v="1"/>
  </r>
  <r>
    <s v="2024-12-12"/>
    <s v="December"/>
    <x v="1"/>
    <x v="1"/>
    <x v="6"/>
    <x v="5"/>
    <x v="2"/>
    <n v="3"/>
    <n v="1075"/>
    <n v="3225"/>
    <x v="1"/>
    <x v="0"/>
  </r>
  <r>
    <s v="2024-02-20"/>
    <s v="February"/>
    <x v="4"/>
    <x v="2"/>
    <x v="4"/>
    <x v="2"/>
    <x v="2"/>
    <n v="11"/>
    <n v="1289"/>
    <n v="14179"/>
    <x v="3"/>
    <x v="1"/>
  </r>
  <r>
    <s v="2024-01-16"/>
    <s v="January"/>
    <x v="8"/>
    <x v="1"/>
    <x v="7"/>
    <x v="3"/>
    <x v="1"/>
    <n v="8"/>
    <n v="778"/>
    <n v="6224"/>
    <x v="3"/>
    <x v="1"/>
  </r>
  <r>
    <s v="2024-04-05"/>
    <s v="April"/>
    <x v="10"/>
    <x v="0"/>
    <x v="0"/>
    <x v="2"/>
    <x v="2"/>
    <n v="8"/>
    <n v="200"/>
    <n v="1600"/>
    <x v="2"/>
    <x v="1"/>
  </r>
  <r>
    <s v="2024-03-19"/>
    <s v="March"/>
    <x v="3"/>
    <x v="2"/>
    <x v="2"/>
    <x v="2"/>
    <x v="2"/>
    <n v="11"/>
    <n v="788"/>
    <n v="8668"/>
    <x v="2"/>
    <x v="0"/>
  </r>
  <r>
    <s v="2024-01-03"/>
    <s v="January"/>
    <x v="8"/>
    <x v="1"/>
    <x v="3"/>
    <x v="3"/>
    <x v="1"/>
    <n v="9"/>
    <n v="259"/>
    <n v="2331"/>
    <x v="0"/>
    <x v="0"/>
  </r>
  <r>
    <s v="2024-04-05"/>
    <s v="April"/>
    <x v="10"/>
    <x v="1"/>
    <x v="2"/>
    <x v="2"/>
    <x v="2"/>
    <n v="4"/>
    <n v="103"/>
    <n v="412"/>
    <x v="2"/>
    <x v="1"/>
  </r>
  <r>
    <s v="2024-10-10"/>
    <s v="October"/>
    <x v="7"/>
    <x v="3"/>
    <x v="2"/>
    <x v="0"/>
    <x v="0"/>
    <n v="1"/>
    <n v="647"/>
    <n v="647"/>
    <x v="3"/>
    <x v="1"/>
  </r>
  <r>
    <s v="2024-02-13"/>
    <s v="February"/>
    <x v="4"/>
    <x v="2"/>
    <x v="2"/>
    <x v="6"/>
    <x v="1"/>
    <n v="6"/>
    <n v="334"/>
    <n v="2004"/>
    <x v="1"/>
    <x v="1"/>
  </r>
  <r>
    <s v="2024-05-17"/>
    <s v="May"/>
    <x v="9"/>
    <x v="2"/>
    <x v="4"/>
    <x v="4"/>
    <x v="2"/>
    <n v="6"/>
    <n v="940"/>
    <n v="5640"/>
    <x v="1"/>
    <x v="1"/>
  </r>
  <r>
    <s v="2024-06-02"/>
    <s v="June"/>
    <x v="11"/>
    <x v="0"/>
    <x v="3"/>
    <x v="4"/>
    <x v="2"/>
    <n v="9"/>
    <n v="555"/>
    <n v="4995"/>
    <x v="3"/>
    <x v="0"/>
  </r>
  <r>
    <s v="2024-08-22"/>
    <s v="August"/>
    <x v="5"/>
    <x v="2"/>
    <x v="0"/>
    <x v="0"/>
    <x v="0"/>
    <n v="1"/>
    <n v="860"/>
    <n v="860"/>
    <x v="1"/>
    <x v="1"/>
  </r>
  <r>
    <s v="2024-06-17"/>
    <s v="June"/>
    <x v="11"/>
    <x v="3"/>
    <x v="2"/>
    <x v="4"/>
    <x v="2"/>
    <n v="20"/>
    <n v="328"/>
    <n v="6560"/>
    <x v="1"/>
    <x v="1"/>
  </r>
  <r>
    <s v="2024-11-04"/>
    <s v="November"/>
    <x v="0"/>
    <x v="1"/>
    <x v="3"/>
    <x v="6"/>
    <x v="1"/>
    <n v="6"/>
    <n v="865"/>
    <n v="5190"/>
    <x v="1"/>
    <x v="1"/>
  </r>
  <r>
    <s v="2024-12-21"/>
    <s v="December"/>
    <x v="1"/>
    <x v="2"/>
    <x v="3"/>
    <x v="4"/>
    <x v="2"/>
    <n v="13"/>
    <n v="624"/>
    <n v="8112"/>
    <x v="3"/>
    <x v="1"/>
  </r>
  <r>
    <s v="2024-02-28"/>
    <s v="February"/>
    <x v="4"/>
    <x v="2"/>
    <x v="1"/>
    <x v="6"/>
    <x v="1"/>
    <n v="15"/>
    <n v="1500"/>
    <n v="22500"/>
    <x v="0"/>
    <x v="1"/>
  </r>
  <r>
    <s v="2024-05-29"/>
    <s v="May"/>
    <x v="9"/>
    <x v="1"/>
    <x v="7"/>
    <x v="0"/>
    <x v="0"/>
    <n v="5"/>
    <n v="1347"/>
    <n v="6735"/>
    <x v="1"/>
    <x v="0"/>
  </r>
  <r>
    <s v="2024-05-09"/>
    <s v="May"/>
    <x v="9"/>
    <x v="1"/>
    <x v="2"/>
    <x v="7"/>
    <x v="1"/>
    <n v="3"/>
    <n v="969"/>
    <n v="2907"/>
    <x v="3"/>
    <x v="1"/>
  </r>
  <r>
    <s v="2024-09-30"/>
    <s v="September"/>
    <x v="2"/>
    <x v="0"/>
    <x v="3"/>
    <x v="2"/>
    <x v="2"/>
    <n v="18"/>
    <n v="1266"/>
    <n v="22788"/>
    <x v="2"/>
    <x v="0"/>
  </r>
  <r>
    <s v="2024-05-07"/>
    <s v="May"/>
    <x v="9"/>
    <x v="2"/>
    <x v="1"/>
    <x v="5"/>
    <x v="2"/>
    <n v="19"/>
    <n v="1371"/>
    <n v="26049"/>
    <x v="3"/>
    <x v="1"/>
  </r>
  <r>
    <s v="2024-08-08"/>
    <s v="August"/>
    <x v="5"/>
    <x v="0"/>
    <x v="4"/>
    <x v="0"/>
    <x v="0"/>
    <n v="9"/>
    <n v="504"/>
    <n v="4536"/>
    <x v="0"/>
    <x v="1"/>
  </r>
  <r>
    <s v="2024-07-10"/>
    <s v="July"/>
    <x v="6"/>
    <x v="1"/>
    <x v="6"/>
    <x v="2"/>
    <x v="2"/>
    <n v="12"/>
    <n v="100"/>
    <n v="1200"/>
    <x v="3"/>
    <x v="0"/>
  </r>
  <r>
    <s v="2024-05-31"/>
    <s v="May"/>
    <x v="9"/>
    <x v="0"/>
    <x v="4"/>
    <x v="2"/>
    <x v="2"/>
    <n v="5"/>
    <n v="763"/>
    <n v="3815"/>
    <x v="1"/>
    <x v="1"/>
  </r>
  <r>
    <s v="2024-08-21"/>
    <s v="August"/>
    <x v="5"/>
    <x v="1"/>
    <x v="3"/>
    <x v="6"/>
    <x v="1"/>
    <n v="16"/>
    <n v="249"/>
    <n v="3984"/>
    <x v="3"/>
    <x v="1"/>
  </r>
  <r>
    <s v="2024-06-12"/>
    <s v="June"/>
    <x v="11"/>
    <x v="3"/>
    <x v="1"/>
    <x v="0"/>
    <x v="0"/>
    <n v="4"/>
    <n v="96"/>
    <n v="384"/>
    <x v="1"/>
    <x v="0"/>
  </r>
  <r>
    <s v="2024-12-12"/>
    <s v="December"/>
    <x v="1"/>
    <x v="2"/>
    <x v="6"/>
    <x v="7"/>
    <x v="1"/>
    <n v="18"/>
    <n v="377"/>
    <n v="6786"/>
    <x v="1"/>
    <x v="1"/>
  </r>
  <r>
    <s v="2024-08-24"/>
    <s v="August"/>
    <x v="5"/>
    <x v="1"/>
    <x v="6"/>
    <x v="6"/>
    <x v="1"/>
    <n v="6"/>
    <n v="1361"/>
    <n v="8166"/>
    <x v="3"/>
    <x v="1"/>
  </r>
  <r>
    <s v="2024-01-15"/>
    <s v="January"/>
    <x v="8"/>
    <x v="1"/>
    <x v="2"/>
    <x v="6"/>
    <x v="1"/>
    <n v="13"/>
    <n v="59"/>
    <n v="767"/>
    <x v="0"/>
    <x v="0"/>
  </r>
  <r>
    <s v="2024-05-22"/>
    <s v="May"/>
    <x v="9"/>
    <x v="0"/>
    <x v="6"/>
    <x v="0"/>
    <x v="0"/>
    <n v="12"/>
    <n v="717"/>
    <n v="8604"/>
    <x v="0"/>
    <x v="1"/>
  </r>
  <r>
    <s v="2024-02-28"/>
    <s v="February"/>
    <x v="4"/>
    <x v="1"/>
    <x v="3"/>
    <x v="3"/>
    <x v="1"/>
    <n v="20"/>
    <n v="845"/>
    <n v="16900"/>
    <x v="3"/>
    <x v="0"/>
  </r>
  <r>
    <s v="2024-06-27"/>
    <s v="June"/>
    <x v="11"/>
    <x v="1"/>
    <x v="6"/>
    <x v="5"/>
    <x v="2"/>
    <n v="10"/>
    <n v="1308"/>
    <n v="13080"/>
    <x v="2"/>
    <x v="0"/>
  </r>
  <r>
    <s v="2024-06-09"/>
    <s v="June"/>
    <x v="11"/>
    <x v="2"/>
    <x v="0"/>
    <x v="0"/>
    <x v="0"/>
    <n v="4"/>
    <n v="424"/>
    <n v="1696"/>
    <x v="1"/>
    <x v="0"/>
  </r>
  <r>
    <s v="2024-09-18"/>
    <s v="September"/>
    <x v="2"/>
    <x v="1"/>
    <x v="6"/>
    <x v="2"/>
    <x v="2"/>
    <n v="19"/>
    <n v="835"/>
    <n v="15865"/>
    <x v="3"/>
    <x v="0"/>
  </r>
  <r>
    <s v="2024-09-06"/>
    <s v="September"/>
    <x v="2"/>
    <x v="2"/>
    <x v="7"/>
    <x v="7"/>
    <x v="1"/>
    <n v="10"/>
    <n v="337"/>
    <n v="3370"/>
    <x v="0"/>
    <x v="1"/>
  </r>
  <r>
    <s v="2024-08-18"/>
    <s v="August"/>
    <x v="5"/>
    <x v="3"/>
    <x v="1"/>
    <x v="1"/>
    <x v="1"/>
    <n v="16"/>
    <n v="329"/>
    <n v="5264"/>
    <x v="0"/>
    <x v="1"/>
  </r>
  <r>
    <s v="2024-10-14"/>
    <s v="October"/>
    <x v="7"/>
    <x v="1"/>
    <x v="7"/>
    <x v="4"/>
    <x v="2"/>
    <n v="14"/>
    <n v="959"/>
    <n v="13426"/>
    <x v="3"/>
    <x v="0"/>
  </r>
  <r>
    <s v="2024-02-12"/>
    <s v="February"/>
    <x v="4"/>
    <x v="2"/>
    <x v="0"/>
    <x v="1"/>
    <x v="1"/>
    <n v="2"/>
    <n v="612"/>
    <n v="1224"/>
    <x v="0"/>
    <x v="1"/>
  </r>
  <r>
    <s v="2024-03-27"/>
    <s v="March"/>
    <x v="3"/>
    <x v="1"/>
    <x v="4"/>
    <x v="4"/>
    <x v="2"/>
    <n v="19"/>
    <n v="283"/>
    <n v="5377"/>
    <x v="1"/>
    <x v="1"/>
  </r>
  <r>
    <s v="2024-10-04"/>
    <s v="October"/>
    <x v="7"/>
    <x v="1"/>
    <x v="5"/>
    <x v="1"/>
    <x v="1"/>
    <n v="14"/>
    <n v="259"/>
    <n v="3626"/>
    <x v="0"/>
    <x v="1"/>
  </r>
  <r>
    <s v="2024-01-17"/>
    <s v="January"/>
    <x v="8"/>
    <x v="3"/>
    <x v="3"/>
    <x v="4"/>
    <x v="2"/>
    <n v="3"/>
    <n v="949"/>
    <n v="2847"/>
    <x v="2"/>
    <x v="0"/>
  </r>
  <r>
    <s v="2024-04-17"/>
    <s v="April"/>
    <x v="10"/>
    <x v="1"/>
    <x v="6"/>
    <x v="5"/>
    <x v="2"/>
    <n v="20"/>
    <n v="335"/>
    <n v="6700"/>
    <x v="0"/>
    <x v="0"/>
  </r>
  <r>
    <s v="2024-01-31"/>
    <s v="January"/>
    <x v="8"/>
    <x v="3"/>
    <x v="6"/>
    <x v="5"/>
    <x v="2"/>
    <n v="11"/>
    <n v="1491"/>
    <n v="16401"/>
    <x v="1"/>
    <x v="1"/>
  </r>
  <r>
    <s v="2024-10-20"/>
    <s v="October"/>
    <x v="7"/>
    <x v="0"/>
    <x v="6"/>
    <x v="3"/>
    <x v="1"/>
    <n v="14"/>
    <n v="171"/>
    <n v="2394"/>
    <x v="1"/>
    <x v="0"/>
  </r>
  <r>
    <s v="2024-12-25"/>
    <s v="December"/>
    <x v="1"/>
    <x v="2"/>
    <x v="6"/>
    <x v="7"/>
    <x v="1"/>
    <n v="11"/>
    <n v="556"/>
    <n v="6116"/>
    <x v="3"/>
    <x v="1"/>
  </r>
  <r>
    <s v="2024-03-13"/>
    <s v="March"/>
    <x v="3"/>
    <x v="1"/>
    <x v="2"/>
    <x v="3"/>
    <x v="1"/>
    <n v="15"/>
    <n v="204"/>
    <n v="3060"/>
    <x v="2"/>
    <x v="1"/>
  </r>
  <r>
    <s v="2024-09-20"/>
    <s v="September"/>
    <x v="2"/>
    <x v="3"/>
    <x v="7"/>
    <x v="3"/>
    <x v="1"/>
    <n v="16"/>
    <n v="720"/>
    <n v="11520"/>
    <x v="2"/>
    <x v="0"/>
  </r>
  <r>
    <s v="2024-08-22"/>
    <s v="August"/>
    <x v="5"/>
    <x v="0"/>
    <x v="2"/>
    <x v="5"/>
    <x v="2"/>
    <n v="7"/>
    <n v="929"/>
    <n v="6503"/>
    <x v="0"/>
    <x v="1"/>
  </r>
  <r>
    <s v="2024-05-17"/>
    <s v="May"/>
    <x v="9"/>
    <x v="3"/>
    <x v="3"/>
    <x v="5"/>
    <x v="2"/>
    <n v="18"/>
    <n v="1233"/>
    <n v="22194"/>
    <x v="0"/>
    <x v="1"/>
  </r>
  <r>
    <s v="2024-06-24"/>
    <s v="June"/>
    <x v="11"/>
    <x v="0"/>
    <x v="4"/>
    <x v="1"/>
    <x v="1"/>
    <n v="15"/>
    <n v="83"/>
    <n v="1245"/>
    <x v="2"/>
    <x v="0"/>
  </r>
  <r>
    <s v="2024-08-13"/>
    <s v="August"/>
    <x v="5"/>
    <x v="0"/>
    <x v="2"/>
    <x v="4"/>
    <x v="2"/>
    <n v="7"/>
    <n v="1460"/>
    <n v="10220"/>
    <x v="0"/>
    <x v="1"/>
  </r>
  <r>
    <s v="2024-03-22"/>
    <s v="March"/>
    <x v="3"/>
    <x v="0"/>
    <x v="3"/>
    <x v="3"/>
    <x v="1"/>
    <n v="9"/>
    <n v="218"/>
    <n v="1962"/>
    <x v="1"/>
    <x v="0"/>
  </r>
  <r>
    <s v="2024-01-27"/>
    <s v="January"/>
    <x v="8"/>
    <x v="3"/>
    <x v="5"/>
    <x v="2"/>
    <x v="2"/>
    <n v="14"/>
    <n v="1392"/>
    <n v="19488"/>
    <x v="2"/>
    <x v="0"/>
  </r>
  <r>
    <s v="2024-01-01"/>
    <s v="January"/>
    <x v="8"/>
    <x v="1"/>
    <x v="4"/>
    <x v="6"/>
    <x v="1"/>
    <n v="5"/>
    <n v="1265"/>
    <n v="6325"/>
    <x v="0"/>
    <x v="1"/>
  </r>
  <r>
    <s v="2024-01-05"/>
    <s v="January"/>
    <x v="8"/>
    <x v="3"/>
    <x v="4"/>
    <x v="1"/>
    <x v="1"/>
    <n v="14"/>
    <n v="1471"/>
    <n v="20594"/>
    <x v="0"/>
    <x v="1"/>
  </r>
  <r>
    <s v="2024-02-06"/>
    <s v="February"/>
    <x v="4"/>
    <x v="1"/>
    <x v="4"/>
    <x v="6"/>
    <x v="1"/>
    <n v="4"/>
    <n v="261"/>
    <n v="1044"/>
    <x v="1"/>
    <x v="1"/>
  </r>
  <r>
    <s v="2024-06-02"/>
    <s v="June"/>
    <x v="11"/>
    <x v="1"/>
    <x v="6"/>
    <x v="7"/>
    <x v="1"/>
    <n v="5"/>
    <n v="190"/>
    <n v="950"/>
    <x v="2"/>
    <x v="0"/>
  </r>
  <r>
    <s v="2024-08-13"/>
    <s v="August"/>
    <x v="5"/>
    <x v="2"/>
    <x v="6"/>
    <x v="5"/>
    <x v="2"/>
    <n v="14"/>
    <n v="1311"/>
    <n v="18354"/>
    <x v="3"/>
    <x v="0"/>
  </r>
  <r>
    <s v="2024-02-14"/>
    <s v="February"/>
    <x v="4"/>
    <x v="2"/>
    <x v="4"/>
    <x v="0"/>
    <x v="0"/>
    <n v="19"/>
    <n v="836"/>
    <n v="15884"/>
    <x v="1"/>
    <x v="1"/>
  </r>
  <r>
    <s v="2024-06-10"/>
    <s v="June"/>
    <x v="11"/>
    <x v="2"/>
    <x v="0"/>
    <x v="7"/>
    <x v="1"/>
    <n v="3"/>
    <n v="558"/>
    <n v="1674"/>
    <x v="1"/>
    <x v="0"/>
  </r>
  <r>
    <s v="2024-12-03"/>
    <s v="December"/>
    <x v="1"/>
    <x v="2"/>
    <x v="5"/>
    <x v="3"/>
    <x v="1"/>
    <n v="13"/>
    <n v="655"/>
    <n v="8515"/>
    <x v="2"/>
    <x v="0"/>
  </r>
  <r>
    <s v="2024-09-10"/>
    <s v="September"/>
    <x v="2"/>
    <x v="0"/>
    <x v="5"/>
    <x v="2"/>
    <x v="2"/>
    <n v="16"/>
    <n v="1356"/>
    <n v="21696"/>
    <x v="2"/>
    <x v="0"/>
  </r>
  <r>
    <s v="2024-07-03"/>
    <s v="July"/>
    <x v="6"/>
    <x v="2"/>
    <x v="2"/>
    <x v="5"/>
    <x v="2"/>
    <n v="19"/>
    <n v="911"/>
    <n v="17309"/>
    <x v="1"/>
    <x v="0"/>
  </r>
  <r>
    <s v="2024-08-29"/>
    <s v="August"/>
    <x v="5"/>
    <x v="0"/>
    <x v="4"/>
    <x v="0"/>
    <x v="0"/>
    <n v="1"/>
    <n v="586"/>
    <n v="586"/>
    <x v="0"/>
    <x v="0"/>
  </r>
  <r>
    <s v="2024-01-31"/>
    <s v="January"/>
    <x v="8"/>
    <x v="3"/>
    <x v="2"/>
    <x v="2"/>
    <x v="2"/>
    <n v="14"/>
    <n v="1487"/>
    <n v="20818"/>
    <x v="3"/>
    <x v="0"/>
  </r>
  <r>
    <s v="2024-11-23"/>
    <s v="November"/>
    <x v="0"/>
    <x v="3"/>
    <x v="4"/>
    <x v="7"/>
    <x v="1"/>
    <n v="10"/>
    <n v="211"/>
    <n v="2110"/>
    <x v="0"/>
    <x v="0"/>
  </r>
  <r>
    <s v="2024-10-01"/>
    <s v="October"/>
    <x v="7"/>
    <x v="1"/>
    <x v="4"/>
    <x v="5"/>
    <x v="2"/>
    <n v="10"/>
    <n v="1480"/>
    <n v="14800"/>
    <x v="3"/>
    <x v="0"/>
  </r>
  <r>
    <s v="2024-01-30"/>
    <s v="January"/>
    <x v="8"/>
    <x v="0"/>
    <x v="2"/>
    <x v="6"/>
    <x v="1"/>
    <n v="4"/>
    <n v="978"/>
    <n v="3912"/>
    <x v="2"/>
    <x v="1"/>
  </r>
  <r>
    <s v="2024-12-07"/>
    <s v="December"/>
    <x v="1"/>
    <x v="0"/>
    <x v="1"/>
    <x v="7"/>
    <x v="1"/>
    <n v="5"/>
    <n v="1486"/>
    <n v="7430"/>
    <x v="2"/>
    <x v="0"/>
  </r>
  <r>
    <s v="2024-09-11"/>
    <s v="September"/>
    <x v="2"/>
    <x v="3"/>
    <x v="6"/>
    <x v="5"/>
    <x v="2"/>
    <n v="12"/>
    <n v="309"/>
    <n v="3708"/>
    <x v="1"/>
    <x v="0"/>
  </r>
  <r>
    <s v="2024-01-16"/>
    <s v="January"/>
    <x v="8"/>
    <x v="1"/>
    <x v="0"/>
    <x v="5"/>
    <x v="2"/>
    <n v="17"/>
    <n v="180"/>
    <n v="3060"/>
    <x v="1"/>
    <x v="0"/>
  </r>
  <r>
    <s v="2024-09-11"/>
    <s v="September"/>
    <x v="2"/>
    <x v="3"/>
    <x v="1"/>
    <x v="4"/>
    <x v="2"/>
    <n v="16"/>
    <n v="1210"/>
    <n v="19360"/>
    <x v="0"/>
    <x v="1"/>
  </r>
  <r>
    <s v="2024-03-21"/>
    <s v="March"/>
    <x v="3"/>
    <x v="0"/>
    <x v="4"/>
    <x v="3"/>
    <x v="1"/>
    <n v="8"/>
    <n v="1092"/>
    <n v="8736"/>
    <x v="2"/>
    <x v="0"/>
  </r>
  <r>
    <s v="2024-01-07"/>
    <s v="January"/>
    <x v="8"/>
    <x v="0"/>
    <x v="7"/>
    <x v="6"/>
    <x v="1"/>
    <n v="12"/>
    <n v="834"/>
    <n v="10008"/>
    <x v="0"/>
    <x v="0"/>
  </r>
  <r>
    <s v="2024-01-19"/>
    <s v="January"/>
    <x v="8"/>
    <x v="2"/>
    <x v="3"/>
    <x v="2"/>
    <x v="2"/>
    <n v="8"/>
    <n v="902"/>
    <n v="7216"/>
    <x v="1"/>
    <x v="1"/>
  </r>
  <r>
    <s v="2024-02-09"/>
    <s v="February"/>
    <x v="4"/>
    <x v="0"/>
    <x v="1"/>
    <x v="5"/>
    <x v="2"/>
    <n v="6"/>
    <n v="507"/>
    <n v="3042"/>
    <x v="2"/>
    <x v="1"/>
  </r>
  <r>
    <s v="2024-02-05"/>
    <s v="February"/>
    <x v="4"/>
    <x v="3"/>
    <x v="0"/>
    <x v="4"/>
    <x v="2"/>
    <n v="11"/>
    <n v="226"/>
    <n v="2486"/>
    <x v="3"/>
    <x v="0"/>
  </r>
  <r>
    <s v="2024-07-07"/>
    <s v="July"/>
    <x v="6"/>
    <x v="3"/>
    <x v="0"/>
    <x v="6"/>
    <x v="1"/>
    <n v="20"/>
    <n v="546"/>
    <n v="10920"/>
    <x v="3"/>
    <x v="1"/>
  </r>
  <r>
    <s v="2024-10-29"/>
    <s v="October"/>
    <x v="7"/>
    <x v="2"/>
    <x v="5"/>
    <x v="4"/>
    <x v="2"/>
    <n v="5"/>
    <n v="63"/>
    <n v="315"/>
    <x v="3"/>
    <x v="0"/>
  </r>
  <r>
    <s v="2024-04-29"/>
    <s v="April"/>
    <x v="10"/>
    <x v="0"/>
    <x v="3"/>
    <x v="5"/>
    <x v="2"/>
    <n v="1"/>
    <n v="1396"/>
    <n v="1396"/>
    <x v="3"/>
    <x v="1"/>
  </r>
  <r>
    <s v="2024-02-23"/>
    <s v="February"/>
    <x v="4"/>
    <x v="2"/>
    <x v="2"/>
    <x v="6"/>
    <x v="1"/>
    <n v="16"/>
    <n v="172"/>
    <n v="2752"/>
    <x v="0"/>
    <x v="1"/>
  </r>
  <r>
    <s v="2024-02-17"/>
    <s v="February"/>
    <x v="4"/>
    <x v="2"/>
    <x v="2"/>
    <x v="1"/>
    <x v="1"/>
    <n v="12"/>
    <n v="988"/>
    <n v="11856"/>
    <x v="2"/>
    <x v="0"/>
  </r>
  <r>
    <s v="2024-09-15"/>
    <s v="September"/>
    <x v="2"/>
    <x v="1"/>
    <x v="4"/>
    <x v="7"/>
    <x v="1"/>
    <n v="19"/>
    <n v="1212"/>
    <n v="23028"/>
    <x v="2"/>
    <x v="1"/>
  </r>
  <r>
    <s v="2024-12-05"/>
    <s v="December"/>
    <x v="1"/>
    <x v="2"/>
    <x v="0"/>
    <x v="7"/>
    <x v="1"/>
    <n v="9"/>
    <n v="695"/>
    <n v="6255"/>
    <x v="3"/>
    <x v="1"/>
  </r>
  <r>
    <s v="2024-06-11"/>
    <s v="June"/>
    <x v="11"/>
    <x v="3"/>
    <x v="5"/>
    <x v="4"/>
    <x v="2"/>
    <n v="3"/>
    <n v="465"/>
    <n v="1395"/>
    <x v="0"/>
    <x v="0"/>
  </r>
  <r>
    <s v="2024-03-20"/>
    <s v="March"/>
    <x v="3"/>
    <x v="2"/>
    <x v="7"/>
    <x v="0"/>
    <x v="0"/>
    <n v="15"/>
    <n v="693"/>
    <n v="10395"/>
    <x v="3"/>
    <x v="0"/>
  </r>
  <r>
    <s v="2024-10-01"/>
    <s v="October"/>
    <x v="7"/>
    <x v="2"/>
    <x v="7"/>
    <x v="5"/>
    <x v="2"/>
    <n v="10"/>
    <n v="998"/>
    <n v="9980"/>
    <x v="1"/>
    <x v="0"/>
  </r>
  <r>
    <s v="2024-02-16"/>
    <s v="February"/>
    <x v="4"/>
    <x v="3"/>
    <x v="1"/>
    <x v="7"/>
    <x v="1"/>
    <n v="7"/>
    <n v="721"/>
    <n v="5047"/>
    <x v="0"/>
    <x v="0"/>
  </r>
  <r>
    <s v="2024-12-30"/>
    <s v="December"/>
    <x v="1"/>
    <x v="3"/>
    <x v="2"/>
    <x v="6"/>
    <x v="1"/>
    <n v="17"/>
    <n v="150"/>
    <n v="2550"/>
    <x v="1"/>
    <x v="1"/>
  </r>
  <r>
    <s v="2024-03-30"/>
    <s v="March"/>
    <x v="3"/>
    <x v="1"/>
    <x v="7"/>
    <x v="1"/>
    <x v="1"/>
    <n v="18"/>
    <n v="1176"/>
    <n v="21168"/>
    <x v="0"/>
    <x v="0"/>
  </r>
  <r>
    <s v="2024-08-24"/>
    <s v="August"/>
    <x v="5"/>
    <x v="2"/>
    <x v="4"/>
    <x v="0"/>
    <x v="0"/>
    <n v="1"/>
    <n v="176"/>
    <n v="176"/>
    <x v="0"/>
    <x v="0"/>
  </r>
  <r>
    <s v="2024-04-11"/>
    <s v="April"/>
    <x v="10"/>
    <x v="3"/>
    <x v="4"/>
    <x v="2"/>
    <x v="2"/>
    <n v="19"/>
    <n v="1250"/>
    <n v="23750"/>
    <x v="1"/>
    <x v="0"/>
  </r>
  <r>
    <s v="2024-01-12"/>
    <s v="January"/>
    <x v="8"/>
    <x v="2"/>
    <x v="7"/>
    <x v="0"/>
    <x v="0"/>
    <n v="5"/>
    <n v="238"/>
    <n v="1190"/>
    <x v="1"/>
    <x v="0"/>
  </r>
  <r>
    <s v="2024-01-22"/>
    <s v="January"/>
    <x v="8"/>
    <x v="0"/>
    <x v="6"/>
    <x v="4"/>
    <x v="2"/>
    <n v="19"/>
    <n v="937"/>
    <n v="17803"/>
    <x v="3"/>
    <x v="1"/>
  </r>
  <r>
    <s v="2024-01-16"/>
    <s v="January"/>
    <x v="8"/>
    <x v="1"/>
    <x v="6"/>
    <x v="2"/>
    <x v="2"/>
    <n v="12"/>
    <n v="489"/>
    <n v="5868"/>
    <x v="0"/>
    <x v="1"/>
  </r>
  <r>
    <s v="2024-05-23"/>
    <s v="May"/>
    <x v="9"/>
    <x v="2"/>
    <x v="1"/>
    <x v="4"/>
    <x v="2"/>
    <n v="20"/>
    <n v="1318"/>
    <n v="26360"/>
    <x v="0"/>
    <x v="1"/>
  </r>
  <r>
    <s v="2024-09-12"/>
    <s v="September"/>
    <x v="2"/>
    <x v="1"/>
    <x v="1"/>
    <x v="2"/>
    <x v="2"/>
    <n v="3"/>
    <n v="622"/>
    <n v="1866"/>
    <x v="3"/>
    <x v="0"/>
  </r>
  <r>
    <s v="2024-08-02"/>
    <s v="August"/>
    <x v="5"/>
    <x v="2"/>
    <x v="1"/>
    <x v="6"/>
    <x v="1"/>
    <n v="13"/>
    <n v="785"/>
    <n v="10205"/>
    <x v="3"/>
    <x v="1"/>
  </r>
  <r>
    <s v="2024-06-25"/>
    <s v="June"/>
    <x v="11"/>
    <x v="1"/>
    <x v="0"/>
    <x v="5"/>
    <x v="2"/>
    <n v="6"/>
    <n v="103"/>
    <n v="618"/>
    <x v="1"/>
    <x v="0"/>
  </r>
  <r>
    <s v="2024-01-16"/>
    <s v="January"/>
    <x v="8"/>
    <x v="0"/>
    <x v="7"/>
    <x v="3"/>
    <x v="1"/>
    <n v="17"/>
    <n v="782"/>
    <n v="13294"/>
    <x v="0"/>
    <x v="0"/>
  </r>
  <r>
    <s v="2024-02-21"/>
    <s v="February"/>
    <x v="4"/>
    <x v="2"/>
    <x v="0"/>
    <x v="6"/>
    <x v="1"/>
    <n v="18"/>
    <n v="164"/>
    <n v="2952"/>
    <x v="0"/>
    <x v="1"/>
  </r>
  <r>
    <s v="2024-06-30"/>
    <s v="June"/>
    <x v="11"/>
    <x v="2"/>
    <x v="5"/>
    <x v="7"/>
    <x v="1"/>
    <n v="19"/>
    <n v="701"/>
    <n v="13319"/>
    <x v="1"/>
    <x v="0"/>
  </r>
  <r>
    <s v="2024-12-26"/>
    <s v="December"/>
    <x v="1"/>
    <x v="2"/>
    <x v="5"/>
    <x v="5"/>
    <x v="2"/>
    <n v="16"/>
    <n v="1160"/>
    <n v="18560"/>
    <x v="1"/>
    <x v="0"/>
  </r>
  <r>
    <s v="2024-09-08"/>
    <s v="September"/>
    <x v="2"/>
    <x v="0"/>
    <x v="1"/>
    <x v="1"/>
    <x v="1"/>
    <n v="8"/>
    <n v="1282"/>
    <n v="10256"/>
    <x v="0"/>
    <x v="0"/>
  </r>
  <r>
    <s v="2024-09-26"/>
    <s v="September"/>
    <x v="2"/>
    <x v="0"/>
    <x v="3"/>
    <x v="4"/>
    <x v="2"/>
    <n v="20"/>
    <n v="462"/>
    <n v="9240"/>
    <x v="0"/>
    <x v="1"/>
  </r>
  <r>
    <s v="2024-03-31"/>
    <s v="March"/>
    <x v="3"/>
    <x v="0"/>
    <x v="1"/>
    <x v="5"/>
    <x v="2"/>
    <n v="5"/>
    <n v="1251"/>
    <n v="6255"/>
    <x v="0"/>
    <x v="0"/>
  </r>
  <r>
    <s v="2024-09-26"/>
    <s v="September"/>
    <x v="2"/>
    <x v="0"/>
    <x v="3"/>
    <x v="5"/>
    <x v="2"/>
    <n v="13"/>
    <n v="1250"/>
    <n v="16250"/>
    <x v="2"/>
    <x v="1"/>
  </r>
  <r>
    <s v="2024-06-03"/>
    <s v="June"/>
    <x v="11"/>
    <x v="2"/>
    <x v="6"/>
    <x v="5"/>
    <x v="2"/>
    <n v="14"/>
    <n v="1359"/>
    <n v="19026"/>
    <x v="3"/>
    <x v="1"/>
  </r>
  <r>
    <s v="2024-03-30"/>
    <s v="March"/>
    <x v="3"/>
    <x v="2"/>
    <x v="6"/>
    <x v="5"/>
    <x v="2"/>
    <n v="13"/>
    <n v="678"/>
    <n v="8814"/>
    <x v="1"/>
    <x v="0"/>
  </r>
  <r>
    <s v="2024-03-31"/>
    <s v="March"/>
    <x v="3"/>
    <x v="1"/>
    <x v="1"/>
    <x v="1"/>
    <x v="1"/>
    <n v="6"/>
    <n v="1283"/>
    <n v="7698"/>
    <x v="1"/>
    <x v="0"/>
  </r>
  <r>
    <s v="2024-11-23"/>
    <s v="November"/>
    <x v="0"/>
    <x v="1"/>
    <x v="6"/>
    <x v="0"/>
    <x v="0"/>
    <n v="11"/>
    <n v="209"/>
    <n v="2299"/>
    <x v="0"/>
    <x v="1"/>
  </r>
  <r>
    <s v="2024-06-12"/>
    <s v="June"/>
    <x v="11"/>
    <x v="0"/>
    <x v="3"/>
    <x v="7"/>
    <x v="1"/>
    <n v="15"/>
    <n v="73"/>
    <n v="1095"/>
    <x v="1"/>
    <x v="0"/>
  </r>
  <r>
    <s v="2024-05-07"/>
    <s v="May"/>
    <x v="9"/>
    <x v="3"/>
    <x v="0"/>
    <x v="0"/>
    <x v="0"/>
    <n v="4"/>
    <n v="52"/>
    <n v="208"/>
    <x v="2"/>
    <x v="1"/>
  </r>
  <r>
    <s v="2024-08-12"/>
    <s v="August"/>
    <x v="5"/>
    <x v="2"/>
    <x v="2"/>
    <x v="2"/>
    <x v="2"/>
    <n v="16"/>
    <n v="825"/>
    <n v="13200"/>
    <x v="1"/>
    <x v="1"/>
  </r>
  <r>
    <s v="2024-02-21"/>
    <s v="February"/>
    <x v="4"/>
    <x v="2"/>
    <x v="6"/>
    <x v="4"/>
    <x v="2"/>
    <n v="15"/>
    <n v="200"/>
    <n v="3000"/>
    <x v="2"/>
    <x v="1"/>
  </r>
  <r>
    <s v="2024-01-11"/>
    <s v="January"/>
    <x v="8"/>
    <x v="3"/>
    <x v="4"/>
    <x v="5"/>
    <x v="2"/>
    <n v="3"/>
    <n v="750"/>
    <n v="2250"/>
    <x v="0"/>
    <x v="1"/>
  </r>
  <r>
    <s v="2024-03-23"/>
    <s v="March"/>
    <x v="3"/>
    <x v="0"/>
    <x v="3"/>
    <x v="0"/>
    <x v="0"/>
    <n v="20"/>
    <n v="1306"/>
    <n v="26120"/>
    <x v="3"/>
    <x v="0"/>
  </r>
  <r>
    <s v="2024-08-08"/>
    <s v="August"/>
    <x v="5"/>
    <x v="1"/>
    <x v="6"/>
    <x v="7"/>
    <x v="1"/>
    <n v="2"/>
    <n v="257"/>
    <n v="514"/>
    <x v="1"/>
    <x v="0"/>
  </r>
  <r>
    <s v="2024-04-07"/>
    <s v="April"/>
    <x v="10"/>
    <x v="3"/>
    <x v="0"/>
    <x v="2"/>
    <x v="2"/>
    <n v="10"/>
    <n v="536"/>
    <n v="5360"/>
    <x v="2"/>
    <x v="0"/>
  </r>
  <r>
    <s v="2024-07-20"/>
    <s v="July"/>
    <x v="6"/>
    <x v="2"/>
    <x v="1"/>
    <x v="4"/>
    <x v="2"/>
    <n v="12"/>
    <n v="57"/>
    <n v="684"/>
    <x v="3"/>
    <x v="0"/>
  </r>
  <r>
    <s v="2024-05-30"/>
    <s v="May"/>
    <x v="9"/>
    <x v="2"/>
    <x v="4"/>
    <x v="4"/>
    <x v="2"/>
    <n v="1"/>
    <n v="473"/>
    <n v="473"/>
    <x v="0"/>
    <x v="1"/>
  </r>
  <r>
    <s v="2024-02-11"/>
    <s v="February"/>
    <x v="4"/>
    <x v="0"/>
    <x v="0"/>
    <x v="4"/>
    <x v="2"/>
    <n v="13"/>
    <n v="1014"/>
    <n v="13182"/>
    <x v="3"/>
    <x v="1"/>
  </r>
  <r>
    <s v="2024-02-16"/>
    <s v="February"/>
    <x v="4"/>
    <x v="2"/>
    <x v="3"/>
    <x v="2"/>
    <x v="2"/>
    <n v="13"/>
    <n v="806"/>
    <n v="10478"/>
    <x v="0"/>
    <x v="1"/>
  </r>
  <r>
    <s v="2024-01-23"/>
    <s v="January"/>
    <x v="8"/>
    <x v="1"/>
    <x v="7"/>
    <x v="3"/>
    <x v="1"/>
    <n v="9"/>
    <n v="513"/>
    <n v="4617"/>
    <x v="1"/>
    <x v="0"/>
  </r>
  <r>
    <s v="2024-03-18"/>
    <s v="March"/>
    <x v="3"/>
    <x v="0"/>
    <x v="3"/>
    <x v="0"/>
    <x v="0"/>
    <n v="18"/>
    <n v="897"/>
    <n v="16146"/>
    <x v="0"/>
    <x v="0"/>
  </r>
  <r>
    <s v="2024-07-17"/>
    <s v="July"/>
    <x v="6"/>
    <x v="1"/>
    <x v="5"/>
    <x v="2"/>
    <x v="2"/>
    <n v="16"/>
    <n v="662"/>
    <n v="10592"/>
    <x v="2"/>
    <x v="1"/>
  </r>
  <r>
    <s v="2024-12-31"/>
    <s v="December"/>
    <x v="1"/>
    <x v="2"/>
    <x v="4"/>
    <x v="1"/>
    <x v="1"/>
    <n v="15"/>
    <n v="404"/>
    <n v="6060"/>
    <x v="0"/>
    <x v="0"/>
  </r>
  <r>
    <s v="2024-04-08"/>
    <s v="April"/>
    <x v="10"/>
    <x v="0"/>
    <x v="2"/>
    <x v="7"/>
    <x v="1"/>
    <n v="3"/>
    <n v="1449"/>
    <n v="4347"/>
    <x v="3"/>
    <x v="0"/>
  </r>
  <r>
    <s v="2024-11-17"/>
    <s v="November"/>
    <x v="0"/>
    <x v="3"/>
    <x v="3"/>
    <x v="7"/>
    <x v="1"/>
    <n v="3"/>
    <n v="228"/>
    <n v="684"/>
    <x v="3"/>
    <x v="1"/>
  </r>
  <r>
    <s v="2024-10-09"/>
    <s v="October"/>
    <x v="7"/>
    <x v="3"/>
    <x v="7"/>
    <x v="5"/>
    <x v="2"/>
    <n v="1"/>
    <n v="1484"/>
    <n v="1484"/>
    <x v="3"/>
    <x v="0"/>
  </r>
  <r>
    <s v="2024-07-31"/>
    <s v="July"/>
    <x v="6"/>
    <x v="2"/>
    <x v="4"/>
    <x v="7"/>
    <x v="1"/>
    <n v="4"/>
    <n v="1202"/>
    <n v="4808"/>
    <x v="2"/>
    <x v="1"/>
  </r>
  <r>
    <s v="2024-10-01"/>
    <s v="October"/>
    <x v="7"/>
    <x v="1"/>
    <x v="0"/>
    <x v="5"/>
    <x v="2"/>
    <n v="13"/>
    <n v="1391"/>
    <n v="18083"/>
    <x v="3"/>
    <x v="1"/>
  </r>
  <r>
    <s v="2024-01-20"/>
    <s v="January"/>
    <x v="8"/>
    <x v="3"/>
    <x v="2"/>
    <x v="7"/>
    <x v="1"/>
    <n v="5"/>
    <n v="1316"/>
    <n v="6580"/>
    <x v="3"/>
    <x v="0"/>
  </r>
  <r>
    <s v="2024-07-21"/>
    <s v="July"/>
    <x v="6"/>
    <x v="2"/>
    <x v="1"/>
    <x v="5"/>
    <x v="2"/>
    <n v="16"/>
    <n v="600"/>
    <n v="9600"/>
    <x v="1"/>
    <x v="0"/>
  </r>
  <r>
    <s v="2024-06-21"/>
    <s v="June"/>
    <x v="11"/>
    <x v="3"/>
    <x v="0"/>
    <x v="3"/>
    <x v="1"/>
    <n v="16"/>
    <n v="1475"/>
    <n v="23600"/>
    <x v="2"/>
    <x v="0"/>
  </r>
  <r>
    <s v="2024-03-09"/>
    <s v="March"/>
    <x v="3"/>
    <x v="1"/>
    <x v="3"/>
    <x v="3"/>
    <x v="1"/>
    <n v="9"/>
    <n v="903"/>
    <n v="8127"/>
    <x v="2"/>
    <x v="0"/>
  </r>
  <r>
    <s v="2024-08-14"/>
    <s v="August"/>
    <x v="5"/>
    <x v="1"/>
    <x v="7"/>
    <x v="6"/>
    <x v="1"/>
    <n v="17"/>
    <n v="815"/>
    <n v="13855"/>
    <x v="2"/>
    <x v="0"/>
  </r>
  <r>
    <s v="2024-02-03"/>
    <s v="February"/>
    <x v="4"/>
    <x v="1"/>
    <x v="6"/>
    <x v="3"/>
    <x v="1"/>
    <n v="17"/>
    <n v="1214"/>
    <n v="20638"/>
    <x v="2"/>
    <x v="0"/>
  </r>
  <r>
    <s v="2024-04-08"/>
    <s v="April"/>
    <x v="10"/>
    <x v="0"/>
    <x v="5"/>
    <x v="6"/>
    <x v="1"/>
    <n v="2"/>
    <n v="984"/>
    <n v="1968"/>
    <x v="2"/>
    <x v="1"/>
  </r>
  <r>
    <s v="2024-12-26"/>
    <s v="December"/>
    <x v="1"/>
    <x v="3"/>
    <x v="3"/>
    <x v="6"/>
    <x v="1"/>
    <n v="15"/>
    <n v="1084"/>
    <n v="16260"/>
    <x v="3"/>
    <x v="0"/>
  </r>
  <r>
    <s v="2024-12-14"/>
    <s v="December"/>
    <x v="1"/>
    <x v="2"/>
    <x v="3"/>
    <x v="1"/>
    <x v="1"/>
    <n v="16"/>
    <n v="1266"/>
    <n v="20256"/>
    <x v="3"/>
    <x v="0"/>
  </r>
  <r>
    <s v="2024-08-30"/>
    <s v="August"/>
    <x v="5"/>
    <x v="3"/>
    <x v="6"/>
    <x v="5"/>
    <x v="2"/>
    <n v="9"/>
    <n v="1460"/>
    <n v="13140"/>
    <x v="2"/>
    <x v="1"/>
  </r>
  <r>
    <s v="2024-01-15"/>
    <s v="January"/>
    <x v="8"/>
    <x v="0"/>
    <x v="6"/>
    <x v="2"/>
    <x v="2"/>
    <n v="19"/>
    <n v="488"/>
    <n v="9272"/>
    <x v="0"/>
    <x v="0"/>
  </r>
  <r>
    <s v="2024-12-12"/>
    <s v="December"/>
    <x v="1"/>
    <x v="3"/>
    <x v="2"/>
    <x v="6"/>
    <x v="1"/>
    <n v="17"/>
    <n v="91"/>
    <n v="1547"/>
    <x v="2"/>
    <x v="1"/>
  </r>
  <r>
    <s v="2024-03-08"/>
    <s v="March"/>
    <x v="3"/>
    <x v="0"/>
    <x v="5"/>
    <x v="7"/>
    <x v="1"/>
    <n v="9"/>
    <n v="1295"/>
    <n v="11655"/>
    <x v="1"/>
    <x v="1"/>
  </r>
  <r>
    <s v="2024-08-04"/>
    <s v="August"/>
    <x v="5"/>
    <x v="3"/>
    <x v="7"/>
    <x v="2"/>
    <x v="2"/>
    <n v="9"/>
    <n v="496"/>
    <n v="4464"/>
    <x v="3"/>
    <x v="1"/>
  </r>
  <r>
    <s v="2024-12-12"/>
    <s v="December"/>
    <x v="1"/>
    <x v="0"/>
    <x v="1"/>
    <x v="2"/>
    <x v="2"/>
    <n v="17"/>
    <n v="1406"/>
    <n v="23902"/>
    <x v="1"/>
    <x v="1"/>
  </r>
  <r>
    <s v="2024-06-01"/>
    <s v="June"/>
    <x v="11"/>
    <x v="1"/>
    <x v="4"/>
    <x v="0"/>
    <x v="0"/>
    <n v="11"/>
    <n v="616"/>
    <n v="6776"/>
    <x v="1"/>
    <x v="1"/>
  </r>
  <r>
    <s v="2024-05-13"/>
    <s v="May"/>
    <x v="9"/>
    <x v="2"/>
    <x v="6"/>
    <x v="3"/>
    <x v="1"/>
    <n v="17"/>
    <n v="542"/>
    <n v="9214"/>
    <x v="2"/>
    <x v="1"/>
  </r>
  <r>
    <s v="2024-12-04"/>
    <s v="December"/>
    <x v="1"/>
    <x v="2"/>
    <x v="1"/>
    <x v="5"/>
    <x v="2"/>
    <n v="16"/>
    <n v="655"/>
    <n v="10480"/>
    <x v="1"/>
    <x v="1"/>
  </r>
  <r>
    <s v="2024-07-26"/>
    <s v="July"/>
    <x v="6"/>
    <x v="0"/>
    <x v="5"/>
    <x v="2"/>
    <x v="2"/>
    <n v="11"/>
    <n v="505"/>
    <n v="5555"/>
    <x v="3"/>
    <x v="1"/>
  </r>
  <r>
    <s v="2024-09-16"/>
    <s v="September"/>
    <x v="2"/>
    <x v="2"/>
    <x v="6"/>
    <x v="3"/>
    <x v="1"/>
    <n v="10"/>
    <n v="249"/>
    <n v="2490"/>
    <x v="3"/>
    <x v="0"/>
  </r>
  <r>
    <s v="2024-05-12"/>
    <s v="May"/>
    <x v="9"/>
    <x v="3"/>
    <x v="4"/>
    <x v="7"/>
    <x v="1"/>
    <n v="8"/>
    <n v="777"/>
    <n v="6216"/>
    <x v="0"/>
    <x v="1"/>
  </r>
  <r>
    <s v="2024-08-03"/>
    <s v="August"/>
    <x v="5"/>
    <x v="3"/>
    <x v="0"/>
    <x v="5"/>
    <x v="2"/>
    <n v="19"/>
    <n v="652"/>
    <n v="12388"/>
    <x v="3"/>
    <x v="0"/>
  </r>
  <r>
    <s v="2024-08-28"/>
    <s v="August"/>
    <x v="5"/>
    <x v="0"/>
    <x v="7"/>
    <x v="1"/>
    <x v="1"/>
    <n v="7"/>
    <n v="1074"/>
    <n v="7518"/>
    <x v="2"/>
    <x v="1"/>
  </r>
  <r>
    <s v="2024-09-28"/>
    <s v="September"/>
    <x v="2"/>
    <x v="1"/>
    <x v="1"/>
    <x v="3"/>
    <x v="1"/>
    <n v="5"/>
    <n v="331"/>
    <n v="1655"/>
    <x v="0"/>
    <x v="1"/>
  </r>
  <r>
    <s v="2024-07-28"/>
    <s v="July"/>
    <x v="6"/>
    <x v="2"/>
    <x v="3"/>
    <x v="4"/>
    <x v="2"/>
    <n v="6"/>
    <n v="215"/>
    <n v="1290"/>
    <x v="3"/>
    <x v="1"/>
  </r>
  <r>
    <s v="2024-11-19"/>
    <s v="November"/>
    <x v="0"/>
    <x v="3"/>
    <x v="1"/>
    <x v="7"/>
    <x v="1"/>
    <n v="1"/>
    <n v="975"/>
    <n v="975"/>
    <x v="1"/>
    <x v="0"/>
  </r>
  <r>
    <s v="2024-03-27"/>
    <s v="March"/>
    <x v="3"/>
    <x v="1"/>
    <x v="4"/>
    <x v="7"/>
    <x v="1"/>
    <n v="5"/>
    <n v="1308"/>
    <n v="6540"/>
    <x v="3"/>
    <x v="1"/>
  </r>
  <r>
    <s v="2024-07-25"/>
    <s v="July"/>
    <x v="6"/>
    <x v="1"/>
    <x v="2"/>
    <x v="2"/>
    <x v="2"/>
    <n v="1"/>
    <n v="127"/>
    <n v="127"/>
    <x v="0"/>
    <x v="1"/>
  </r>
  <r>
    <s v="2024-01-08"/>
    <s v="January"/>
    <x v="8"/>
    <x v="2"/>
    <x v="1"/>
    <x v="5"/>
    <x v="2"/>
    <n v="1"/>
    <n v="1333"/>
    <n v="1333"/>
    <x v="0"/>
    <x v="0"/>
  </r>
  <r>
    <s v="2024-12-21"/>
    <s v="December"/>
    <x v="1"/>
    <x v="3"/>
    <x v="6"/>
    <x v="5"/>
    <x v="2"/>
    <n v="4"/>
    <n v="835"/>
    <n v="3340"/>
    <x v="1"/>
    <x v="0"/>
  </r>
  <r>
    <s v="2024-02-03"/>
    <s v="February"/>
    <x v="4"/>
    <x v="3"/>
    <x v="0"/>
    <x v="1"/>
    <x v="1"/>
    <n v="15"/>
    <n v="1115"/>
    <n v="16725"/>
    <x v="1"/>
    <x v="1"/>
  </r>
  <r>
    <s v="2024-12-17"/>
    <s v="December"/>
    <x v="1"/>
    <x v="3"/>
    <x v="7"/>
    <x v="7"/>
    <x v="1"/>
    <n v="12"/>
    <n v="435"/>
    <n v="5220"/>
    <x v="0"/>
    <x v="1"/>
  </r>
  <r>
    <s v="2024-01-10"/>
    <s v="January"/>
    <x v="8"/>
    <x v="2"/>
    <x v="6"/>
    <x v="6"/>
    <x v="1"/>
    <n v="7"/>
    <n v="94"/>
    <n v="658"/>
    <x v="0"/>
    <x v="0"/>
  </r>
  <r>
    <s v="2024-07-06"/>
    <s v="July"/>
    <x v="6"/>
    <x v="1"/>
    <x v="0"/>
    <x v="1"/>
    <x v="1"/>
    <n v="18"/>
    <n v="1326"/>
    <n v="23868"/>
    <x v="2"/>
    <x v="0"/>
  </r>
  <r>
    <s v="2024-12-04"/>
    <s v="December"/>
    <x v="1"/>
    <x v="0"/>
    <x v="1"/>
    <x v="0"/>
    <x v="0"/>
    <n v="4"/>
    <n v="903"/>
    <n v="3612"/>
    <x v="3"/>
    <x v="1"/>
  </r>
  <r>
    <s v="2024-03-04"/>
    <s v="March"/>
    <x v="3"/>
    <x v="1"/>
    <x v="6"/>
    <x v="3"/>
    <x v="1"/>
    <n v="7"/>
    <n v="1473"/>
    <n v="10311"/>
    <x v="2"/>
    <x v="1"/>
  </r>
  <r>
    <s v="2024-08-03"/>
    <s v="August"/>
    <x v="5"/>
    <x v="3"/>
    <x v="6"/>
    <x v="0"/>
    <x v="0"/>
    <n v="14"/>
    <n v="264"/>
    <n v="3696"/>
    <x v="2"/>
    <x v="1"/>
  </r>
  <r>
    <s v="2024-02-28"/>
    <s v="February"/>
    <x v="4"/>
    <x v="1"/>
    <x v="5"/>
    <x v="0"/>
    <x v="0"/>
    <n v="20"/>
    <n v="459"/>
    <n v="9180"/>
    <x v="1"/>
    <x v="0"/>
  </r>
  <r>
    <s v="2024-07-02"/>
    <s v="July"/>
    <x v="6"/>
    <x v="3"/>
    <x v="6"/>
    <x v="2"/>
    <x v="2"/>
    <n v="2"/>
    <n v="1172"/>
    <n v="2344"/>
    <x v="3"/>
    <x v="0"/>
  </r>
  <r>
    <s v="2024-12-18"/>
    <s v="December"/>
    <x v="1"/>
    <x v="3"/>
    <x v="5"/>
    <x v="4"/>
    <x v="2"/>
    <n v="1"/>
    <n v="76"/>
    <n v="76"/>
    <x v="2"/>
    <x v="0"/>
  </r>
  <r>
    <s v="2024-10-20"/>
    <s v="October"/>
    <x v="7"/>
    <x v="2"/>
    <x v="4"/>
    <x v="4"/>
    <x v="2"/>
    <n v="17"/>
    <n v="203"/>
    <n v="3451"/>
    <x v="2"/>
    <x v="1"/>
  </r>
  <r>
    <s v="2024-11-25"/>
    <s v="November"/>
    <x v="0"/>
    <x v="1"/>
    <x v="0"/>
    <x v="6"/>
    <x v="1"/>
    <n v="9"/>
    <n v="1000"/>
    <n v="9000"/>
    <x v="2"/>
    <x v="0"/>
  </r>
  <r>
    <s v="2024-03-30"/>
    <s v="March"/>
    <x v="3"/>
    <x v="3"/>
    <x v="3"/>
    <x v="1"/>
    <x v="1"/>
    <n v="11"/>
    <n v="922"/>
    <n v="10142"/>
    <x v="2"/>
    <x v="0"/>
  </r>
  <r>
    <s v="2024-01-24"/>
    <s v="January"/>
    <x v="8"/>
    <x v="2"/>
    <x v="6"/>
    <x v="1"/>
    <x v="1"/>
    <n v="11"/>
    <n v="782"/>
    <n v="8602"/>
    <x v="3"/>
    <x v="1"/>
  </r>
  <r>
    <s v="2024-02-17"/>
    <s v="February"/>
    <x v="4"/>
    <x v="3"/>
    <x v="6"/>
    <x v="5"/>
    <x v="2"/>
    <n v="4"/>
    <n v="870"/>
    <n v="3480"/>
    <x v="3"/>
    <x v="1"/>
  </r>
  <r>
    <s v="2024-05-19"/>
    <s v="May"/>
    <x v="9"/>
    <x v="1"/>
    <x v="2"/>
    <x v="2"/>
    <x v="2"/>
    <n v="6"/>
    <n v="281"/>
    <n v="1686"/>
    <x v="0"/>
    <x v="0"/>
  </r>
  <r>
    <s v="2024-03-22"/>
    <s v="March"/>
    <x v="3"/>
    <x v="1"/>
    <x v="7"/>
    <x v="0"/>
    <x v="0"/>
    <n v="19"/>
    <n v="1439"/>
    <n v="27341"/>
    <x v="3"/>
    <x v="0"/>
  </r>
  <r>
    <s v="2024-11-08"/>
    <s v="November"/>
    <x v="0"/>
    <x v="3"/>
    <x v="1"/>
    <x v="2"/>
    <x v="2"/>
    <n v="5"/>
    <n v="1039"/>
    <n v="5195"/>
    <x v="3"/>
    <x v="0"/>
  </r>
  <r>
    <s v="2024-07-29"/>
    <s v="July"/>
    <x v="6"/>
    <x v="0"/>
    <x v="4"/>
    <x v="4"/>
    <x v="2"/>
    <n v="9"/>
    <n v="1391"/>
    <n v="12519"/>
    <x v="1"/>
    <x v="0"/>
  </r>
  <r>
    <s v="2024-12-26"/>
    <s v="December"/>
    <x v="1"/>
    <x v="3"/>
    <x v="4"/>
    <x v="6"/>
    <x v="1"/>
    <n v="14"/>
    <n v="1405"/>
    <n v="19670"/>
    <x v="0"/>
    <x v="1"/>
  </r>
  <r>
    <s v="2024-06-26"/>
    <s v="June"/>
    <x v="11"/>
    <x v="2"/>
    <x v="1"/>
    <x v="2"/>
    <x v="2"/>
    <n v="1"/>
    <n v="1367"/>
    <n v="1367"/>
    <x v="0"/>
    <x v="1"/>
  </r>
  <r>
    <s v="2024-09-10"/>
    <s v="September"/>
    <x v="2"/>
    <x v="0"/>
    <x v="7"/>
    <x v="7"/>
    <x v="1"/>
    <n v="11"/>
    <n v="543"/>
    <n v="5973"/>
    <x v="1"/>
    <x v="1"/>
  </r>
  <r>
    <s v="2024-01-26"/>
    <s v="January"/>
    <x v="8"/>
    <x v="1"/>
    <x v="2"/>
    <x v="6"/>
    <x v="1"/>
    <n v="8"/>
    <n v="211"/>
    <n v="1688"/>
    <x v="3"/>
    <x v="1"/>
  </r>
  <r>
    <s v="2024-10-20"/>
    <s v="October"/>
    <x v="7"/>
    <x v="0"/>
    <x v="7"/>
    <x v="4"/>
    <x v="2"/>
    <n v="15"/>
    <n v="697"/>
    <n v="10455"/>
    <x v="2"/>
    <x v="1"/>
  </r>
  <r>
    <s v="2024-11-30"/>
    <s v="November"/>
    <x v="0"/>
    <x v="0"/>
    <x v="2"/>
    <x v="1"/>
    <x v="1"/>
    <n v="14"/>
    <n v="123"/>
    <n v="1722"/>
    <x v="2"/>
    <x v="0"/>
  </r>
  <r>
    <s v="2024-11-05"/>
    <s v="November"/>
    <x v="0"/>
    <x v="2"/>
    <x v="7"/>
    <x v="3"/>
    <x v="1"/>
    <n v="11"/>
    <n v="794"/>
    <n v="8734"/>
    <x v="2"/>
    <x v="0"/>
  </r>
  <r>
    <s v="2024-08-20"/>
    <s v="August"/>
    <x v="5"/>
    <x v="1"/>
    <x v="3"/>
    <x v="5"/>
    <x v="2"/>
    <n v="15"/>
    <n v="283"/>
    <n v="4245"/>
    <x v="2"/>
    <x v="0"/>
  </r>
  <r>
    <s v="2024-01-02"/>
    <s v="January"/>
    <x v="8"/>
    <x v="3"/>
    <x v="0"/>
    <x v="5"/>
    <x v="2"/>
    <n v="18"/>
    <n v="1119"/>
    <n v="20142"/>
    <x v="1"/>
    <x v="0"/>
  </r>
  <r>
    <s v="2024-01-24"/>
    <s v="January"/>
    <x v="8"/>
    <x v="1"/>
    <x v="6"/>
    <x v="7"/>
    <x v="1"/>
    <n v="14"/>
    <n v="269"/>
    <n v="3766"/>
    <x v="1"/>
    <x v="0"/>
  </r>
  <r>
    <s v="2024-04-06"/>
    <s v="April"/>
    <x v="10"/>
    <x v="1"/>
    <x v="5"/>
    <x v="0"/>
    <x v="0"/>
    <n v="15"/>
    <n v="440"/>
    <n v="6600"/>
    <x v="1"/>
    <x v="0"/>
  </r>
  <r>
    <s v="2024-07-31"/>
    <s v="July"/>
    <x v="6"/>
    <x v="0"/>
    <x v="7"/>
    <x v="1"/>
    <x v="1"/>
    <n v="15"/>
    <n v="1398"/>
    <n v="20970"/>
    <x v="0"/>
    <x v="1"/>
  </r>
  <r>
    <s v="2024-01-03"/>
    <s v="January"/>
    <x v="8"/>
    <x v="1"/>
    <x v="7"/>
    <x v="1"/>
    <x v="1"/>
    <n v="17"/>
    <n v="412"/>
    <n v="7004"/>
    <x v="0"/>
    <x v="0"/>
  </r>
  <r>
    <s v="2024-02-23"/>
    <s v="February"/>
    <x v="4"/>
    <x v="3"/>
    <x v="2"/>
    <x v="2"/>
    <x v="2"/>
    <n v="14"/>
    <n v="1297"/>
    <n v="18158"/>
    <x v="0"/>
    <x v="1"/>
  </r>
  <r>
    <s v="2024-07-22"/>
    <s v="July"/>
    <x v="6"/>
    <x v="3"/>
    <x v="7"/>
    <x v="5"/>
    <x v="2"/>
    <n v="5"/>
    <n v="332"/>
    <n v="1660"/>
    <x v="3"/>
    <x v="1"/>
  </r>
  <r>
    <s v="2024-12-25"/>
    <s v="December"/>
    <x v="1"/>
    <x v="2"/>
    <x v="5"/>
    <x v="5"/>
    <x v="2"/>
    <n v="7"/>
    <n v="1328"/>
    <n v="9296"/>
    <x v="1"/>
    <x v="1"/>
  </r>
  <r>
    <s v="2024-12-10"/>
    <s v="December"/>
    <x v="1"/>
    <x v="2"/>
    <x v="3"/>
    <x v="7"/>
    <x v="1"/>
    <n v="4"/>
    <n v="771"/>
    <n v="3084"/>
    <x v="3"/>
    <x v="1"/>
  </r>
  <r>
    <s v="2024-12-11"/>
    <s v="December"/>
    <x v="1"/>
    <x v="1"/>
    <x v="1"/>
    <x v="3"/>
    <x v="1"/>
    <n v="17"/>
    <n v="268"/>
    <n v="4556"/>
    <x v="2"/>
    <x v="1"/>
  </r>
  <r>
    <s v="2024-03-15"/>
    <s v="March"/>
    <x v="3"/>
    <x v="0"/>
    <x v="5"/>
    <x v="1"/>
    <x v="1"/>
    <n v="9"/>
    <n v="379"/>
    <n v="341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4BBFC-B322-4A98-B93D-D2E6FB2DB6AE}"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15:P23" firstHeaderRow="1" firstDataRow="1" firstDataCol="1"/>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compact="0" outline="0" showAll="0">
      <items count="5">
        <item x="3"/>
        <item h="1" x="0"/>
        <item h="1" x="2"/>
        <item h="1" x="1"/>
        <item t="default"/>
      </items>
    </pivotField>
    <pivotField axis="axisRow" compact="0" outline="0" showAll="0">
      <items count="9">
        <item x="0"/>
        <item x="7"/>
        <item x="2"/>
        <item x="4"/>
        <item x="1"/>
        <item x="3"/>
        <item x="6"/>
        <item x="5"/>
        <item t="default"/>
      </items>
    </pivotField>
    <pivotField compact="0" outline="0" showAll="0"/>
    <pivotField compact="0" outline="0" showAll="0">
      <items count="4">
        <item x="2"/>
        <item x="1"/>
        <item x="0"/>
        <item t="default"/>
      </items>
    </pivotField>
    <pivotField compact="0" outline="0" showAll="0"/>
    <pivotField compact="0" outline="0" showAll="0"/>
    <pivotField dataField="1" compact="0" numFmtId="164" outline="0" showAll="0"/>
    <pivotField compact="0" outline="0" showAll="0"/>
    <pivotField compact="0" outline="0" showAll="0"/>
  </pivotFields>
  <rowFields count="1">
    <field x="4"/>
  </rowFields>
  <rowItems count="8">
    <i>
      <x/>
    </i>
    <i>
      <x v="2"/>
    </i>
    <i>
      <x v="3"/>
    </i>
    <i>
      <x v="4"/>
    </i>
    <i>
      <x v="5"/>
    </i>
    <i>
      <x v="6"/>
    </i>
    <i>
      <x v="7"/>
    </i>
    <i t="grand">
      <x/>
    </i>
  </rowItems>
  <colItems count="1">
    <i/>
  </colItems>
  <dataFields count="1">
    <dataField name="Total-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CAD2A-F1E6-4706-8A52-2AED82870C6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O7:P10" firstHeaderRow="1" firstDataRow="1" firstDataCol="1"/>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compact="0" outline="0" showAll="0">
      <items count="5">
        <item x="3"/>
        <item h="1" x="0"/>
        <item h="1" x="2"/>
        <item h="1" x="1"/>
        <item t="default"/>
      </items>
    </pivotField>
    <pivotField compact="0" outline="0" showAll="0"/>
    <pivotField compact="0" outline="0" showAll="0"/>
    <pivotField compact="0" outline="0" showAll="0"/>
    <pivotField compact="0" outline="0" showAll="0"/>
    <pivotField compact="0" outline="0" showAll="0"/>
    <pivotField dataField="1" compact="0" numFmtId="164" outline="0" showAll="0"/>
    <pivotField compact="0" outline="0" showAll="0"/>
    <pivotField axis="axisRow" compact="0" outline="0" showAll="0">
      <items count="3">
        <item x="0"/>
        <item x="1"/>
        <item t="default"/>
      </items>
    </pivotField>
  </pivotFields>
  <rowFields count="1">
    <field x="11"/>
  </rowFields>
  <rowItems count="3">
    <i>
      <x/>
    </i>
    <i>
      <x v="1"/>
    </i>
    <i t="grand">
      <x/>
    </i>
  </rowItems>
  <colItems count="1">
    <i/>
  </colItems>
  <dataFields count="1">
    <dataField name="Total-Sales" fld="9" baseField="0" baseItem="0" numFmtId="164"/>
  </dataFields>
  <chartFormats count="12">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1" count="1" selected="0">
            <x v="0"/>
          </reference>
        </references>
      </pivotArea>
    </chartFormat>
    <chartFormat chart="5" format="14">
      <pivotArea type="data" outline="0" fieldPosition="0">
        <references count="2">
          <reference field="4294967294" count="1" selected="0">
            <x v="0"/>
          </reference>
          <reference field="1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1" count="1" selected="0">
            <x v="0"/>
          </reference>
        </references>
      </pivotArea>
    </chartFormat>
    <chartFormat chart="6"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B85D0D-EE3A-44AF-A9F4-1692F8A00FF7}"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9:C24" firstHeaderRow="1" firstDataRow="1" firstDataCol="1"/>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axis="axisRow" compact="0" outline="0" showAll="0">
      <items count="5">
        <item x="3"/>
        <item x="0"/>
        <item x="2"/>
        <item x="1"/>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dataField="1"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Product Sales" fld="9" baseField="4" baseItem="0" numFmtId="164"/>
  </dataFields>
  <formats count="1">
    <format dxfId="1">
      <pivotArea outline="0" fieldPosition="0">
        <references count="1">
          <reference field="3"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A86329-266D-4063-86D0-81167A789D7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B7:C15" firstHeaderRow="1" firstDataRow="1" firstDataCol="1"/>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compact="0" outline="0" showAll="0">
      <items count="5">
        <item x="3"/>
        <item h="1" x="0"/>
        <item h="1" x="2"/>
        <item h="1" x="1"/>
        <item t="default"/>
      </items>
    </pivotField>
    <pivotField compact="0" outline="0" showAll="0"/>
    <pivotField axis="axisRow" compact="0" outline="0" showAll="0">
      <items count="9">
        <item x="4"/>
        <item x="5"/>
        <item x="1"/>
        <item x="3"/>
        <item x="2"/>
        <item x="7"/>
        <item x="0"/>
        <item x="6"/>
        <item t="default"/>
      </items>
    </pivotField>
    <pivotField compact="0" outline="0" showAll="0">
      <items count="4">
        <item x="2"/>
        <item x="1"/>
        <item x="0"/>
        <item t="default"/>
      </items>
    </pivotField>
    <pivotField compact="0" outline="0" showAll="0"/>
    <pivotField compact="0" outline="0" showAll="0"/>
    <pivotField dataField="1" compact="0" numFmtId="164" outline="0" showAll="0"/>
    <pivotField compact="0" outline="0" showAll="0"/>
    <pivotField compact="0" outline="0" showAll="0"/>
  </pivotFields>
  <rowFields count="1">
    <field x="5"/>
  </rowFields>
  <rowItems count="8">
    <i>
      <x/>
    </i>
    <i>
      <x v="1"/>
    </i>
    <i>
      <x v="2"/>
    </i>
    <i>
      <x v="3"/>
    </i>
    <i>
      <x v="4"/>
    </i>
    <i>
      <x v="5"/>
    </i>
    <i>
      <x v="6"/>
    </i>
    <i t="grand">
      <x/>
    </i>
  </rowItems>
  <colItems count="1">
    <i/>
  </colItems>
  <dataFields count="1">
    <dataField name="Product Sales" fld="9" baseField="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3725D8-1CC4-466F-B940-72474D338AE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L7:M11" firstHeaderRow="1" firstDataRow="1" firstDataCol="1"/>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compact="0" outline="0" showAll="0">
      <items count="5">
        <item x="3"/>
        <item h="1" x="0"/>
        <item h="1" x="2"/>
        <item h="1" x="1"/>
        <item t="default"/>
      </items>
    </pivotField>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dataField="1" compact="0" numFmtId="164" outline="0" showAll="0"/>
    <pivotField compact="0" outline="0" showAll="0"/>
    <pivotField compact="0" outline="0" showAll="0"/>
  </pivotFields>
  <rowFields count="1">
    <field x="6"/>
  </rowFields>
  <rowItems count="4">
    <i>
      <x/>
    </i>
    <i>
      <x v="1"/>
    </i>
    <i>
      <x v="2"/>
    </i>
    <i t="grand">
      <x/>
    </i>
  </rowItems>
  <colItems count="1">
    <i/>
  </colItems>
  <dataFields count="1">
    <dataField name="Total Sales by Category" fld="9" baseField="5" baseItem="0" numFmtId="164"/>
  </dataFields>
  <chartFormats count="4">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6" count="1" selected="0">
            <x v="0"/>
          </reference>
        </references>
      </pivotArea>
    </chartFormat>
    <chartFormat chart="10" format="26">
      <pivotArea type="data" outline="0" fieldPosition="0">
        <references count="2">
          <reference field="4294967294" count="1" selected="0">
            <x v="0"/>
          </reference>
          <reference field="6" count="1" selected="0">
            <x v="1"/>
          </reference>
        </references>
      </pivotArea>
    </chartFormat>
    <chartFormat chart="10" format="2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B1096-4086-4933-A6A0-2C74C07001B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C3" firstHeaderRow="1" firstDataRow="1" firstDataCol="0"/>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compact="0" outline="0" showAll="0">
      <items count="5">
        <item x="3"/>
        <item h="1" x="0"/>
        <item h="1" x="2"/>
        <item h="1" x="1"/>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dataField="1" compact="0" numFmtId="164" outline="0" showAll="0"/>
    <pivotField compact="0" outline="0" showAll="0"/>
    <pivotField compact="0" outline="0" showAll="0"/>
  </pivotFields>
  <rowItems count="1">
    <i/>
  </rowItems>
  <colItems count="1">
    <i/>
  </colItems>
  <dataFields count="1">
    <dataField name="Total-Sales" fld="9"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EE2E6F-92B9-4083-87AD-1B672478500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L15:M20" firstHeaderRow="1" firstDataRow="1" firstDataCol="1"/>
  <pivotFields count="12">
    <pivotField compact="0" outline="0" showAll="0"/>
    <pivotField compact="0" outline="0" showAll="0"/>
    <pivotField compact="0" outline="0" showAll="0">
      <items count="13">
        <item x="8"/>
        <item h="1" x="4"/>
        <item h="1" x="3"/>
        <item h="1" x="10"/>
        <item h="1" x="9"/>
        <item h="1" x="11"/>
        <item h="1" x="6"/>
        <item h="1" x="5"/>
        <item h="1" x="2"/>
        <item h="1" x="7"/>
        <item h="1" x="0"/>
        <item h="1" x="1"/>
        <item t="default"/>
      </items>
    </pivotField>
    <pivotField compact="0" outline="0" showAll="0">
      <items count="5">
        <item x="3"/>
        <item h="1" x="0"/>
        <item h="1" x="2"/>
        <item h="1" x="1"/>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dataField="1" compact="0" numFmtId="164" outline="0" showAll="0"/>
    <pivotField axis="axisRow" compact="0" outline="0" showAll="0">
      <items count="5">
        <item x="1"/>
        <item x="2"/>
        <item x="0"/>
        <item x="3"/>
        <item t="default"/>
      </items>
    </pivotField>
    <pivotField compact="0" outline="0" showAll="0"/>
  </pivotFields>
  <rowFields count="1">
    <field x="10"/>
  </rowFields>
  <rowItems count="5">
    <i>
      <x/>
    </i>
    <i>
      <x v="1"/>
    </i>
    <i>
      <x v="2"/>
    </i>
    <i>
      <x v="3"/>
    </i>
    <i t="grand">
      <x/>
    </i>
  </rowItems>
  <colItems count="1">
    <i/>
  </colItems>
  <dataFields count="1">
    <dataField name="Total-Sales" fld="9" baseField="0" baseItem="0" numFmtId="164"/>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882EBA-2500-4173-9B87-DDE9ACC7BD1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F4:G17" firstHeaderRow="1" firstDataRow="1" firstDataCol="1"/>
  <pivotFields count="12">
    <pivotField compact="0" outline="0" showAll="0"/>
    <pivotField compact="0" outline="0" showAll="0"/>
    <pivotField axis="axisRow" compact="0" outline="0" showAll="0">
      <items count="13">
        <item x="8"/>
        <item x="4"/>
        <item x="3"/>
        <item x="10"/>
        <item x="9"/>
        <item x="11"/>
        <item x="6"/>
        <item x="5"/>
        <item x="2"/>
        <item x="7"/>
        <item x="0"/>
        <item x="1"/>
        <item t="default"/>
      </items>
    </pivotField>
    <pivotField compact="0" outline="0" showAll="0">
      <items count="5">
        <item x="3"/>
        <item h="1" x="0"/>
        <item h="1" x="2"/>
        <item h="1" x="1"/>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dataField="1" compact="0" numFmtId="164" outline="0" showAll="0"/>
    <pivotField compact="0" outline="0" showAll="0"/>
    <pivotField compact="0" outline="0" showAll="0"/>
  </pivotFields>
  <rowFields count="1">
    <field x="2"/>
  </rowFields>
  <rowItems count="13">
    <i>
      <x/>
    </i>
    <i>
      <x v="1"/>
    </i>
    <i>
      <x v="2"/>
    </i>
    <i>
      <x v="3"/>
    </i>
    <i>
      <x v="4"/>
    </i>
    <i>
      <x v="5"/>
    </i>
    <i>
      <x v="6"/>
    </i>
    <i>
      <x v="7"/>
    </i>
    <i>
      <x v="8"/>
    </i>
    <i>
      <x v="9"/>
    </i>
    <i>
      <x v="10"/>
    </i>
    <i>
      <x v="11"/>
    </i>
    <i t="grand">
      <x/>
    </i>
  </rowItems>
  <colItems count="1">
    <i/>
  </colItems>
  <dataFields count="1">
    <dataField name="Monthly Sales" fld="9"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_name" xr10:uid="{4949B8C7-FDA5-4F5B-A1D2-8B70D856294F}" sourceName="mnth name">
  <pivotTables>
    <pivotTable tabId="2" name="PivotTable1"/>
    <pivotTable tabId="2" name="PivotTable3"/>
    <pivotTable tabId="2" name="PivotTable4"/>
    <pivotTable tabId="2" name="PivotTable5"/>
    <pivotTable tabId="2" name="PivotTable6"/>
    <pivotTable tabId="2" name="PivotTable7"/>
    <pivotTable tabId="2" name="PivotTable8"/>
  </pivotTables>
  <data>
    <tabular pivotCacheId="1412487016">
      <items count="12">
        <i x="8" s="1"/>
        <i x="4"/>
        <i x="3"/>
        <i x="10"/>
        <i x="9"/>
        <i x="11"/>
        <i x="6"/>
        <i x="5"/>
        <i x="2"/>
        <i x="7"/>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5FF049-119D-42FB-B626-3E70212094D2}" sourceName="Category">
  <pivotTables>
    <pivotTable tabId="2" name="PivotTable4"/>
    <pivotTable tabId="2" name="PivotTable1"/>
    <pivotTable tabId="2" name="PivotTable2"/>
    <pivotTable tabId="2" name="PivotTable3"/>
    <pivotTable tabId="2" name="PivotTable6"/>
    <pivotTable tabId="2" name="PivotTable7"/>
    <pivotTable tabId="2" name="PivotTable8"/>
  </pivotTables>
  <data>
    <tabular pivotCacheId="14124870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B88740-55DC-4FC4-96A0-E09B3618F684}" sourceName="Region">
  <pivotTables>
    <pivotTable tabId="2" name="PivotTable2"/>
    <pivotTable tabId="2" name="PivotTable1"/>
    <pivotTable tabId="2" name="PivotTable3"/>
    <pivotTable tabId="2" name="PivotTable6"/>
    <pivotTable tabId="2" name="PivotTable7"/>
    <pivotTable tabId="2" name="PivotTable4"/>
    <pivotTable tabId="2" name="PivotTable5"/>
  </pivotTables>
  <data>
    <tabular pivotCacheId="1412487016">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AF93C5B-9523-4F8F-9692-32957AC8F438}" cache="Slicer_mnth_name" caption="Month Name" style="SlicerStyleLight1 2" rowHeight="241300"/>
  <slicer name="Category" xr10:uid="{A235179B-126D-4ABD-9A20-89EA9A613DE7}" cache="Slicer_Category" caption="Category" style="SlicerStyleLight1 2" rowHeight="241300"/>
  <slicer name="Region" xr10:uid="{7EF2A1E4-D6C0-40A7-8268-4ABA6CE5F945}" cache="Slicer_Region" caption="Region"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53931-0B8C-4424-AFB5-881082800700}" name="Table2" displayName="Table2" ref="A1:L501" totalsRowShown="0" headerRowDxfId="6" headerRowBorderDxfId="5" tableBorderDxfId="4">
  <autoFilter ref="A1:L501" xr:uid="{0F153931-0B8C-4424-AFB5-881082800700}"/>
  <tableColumns count="12">
    <tableColumn id="1" xr3:uid="{A4CF3BE9-5440-45B3-8CC4-1881911CC459}" name="Date"/>
    <tableColumn id="2" xr3:uid="{DFCD94EF-E0F6-4AC8-8BA5-E47979E57E10}" name="Month Name"/>
    <tableColumn id="13" xr3:uid="{3C12AFBA-4FB0-4699-BAA7-930A30C916CD}" name="mnth name"/>
    <tableColumn id="3" xr3:uid="{8E3C9553-49F5-4ABB-A81F-C56EECD8CFF5}" name="Region"/>
    <tableColumn id="4" xr3:uid="{FDCEB564-0DDF-4F86-A4F0-D88355059D33}" name="Salesperson"/>
    <tableColumn id="5" xr3:uid="{E017EA9F-977D-45D9-B9F7-85C7FB89F9F6}" name="Product"/>
    <tableColumn id="6" xr3:uid="{E0B69616-20B2-4395-A01F-A058CE559CB3}" name="Category"/>
    <tableColumn id="7" xr3:uid="{FE3FA7CA-B8A2-4618-AA24-937C1EF69530}" name="Units Sold"/>
    <tableColumn id="8" xr3:uid="{ADA5FC04-B1DA-475B-BBD2-CA1D19AC5AE8}" name="Unit Price"/>
    <tableColumn id="9" xr3:uid="{2924961C-F18F-4499-94CC-9F7CF187E423}" name="Total Sales" dataDxfId="3"/>
    <tableColumn id="10" xr3:uid="{17745A6A-5542-4E0C-93F9-1B5255564A98}" name="Payment Method"/>
    <tableColumn id="11" xr3:uid="{6F895C6A-E6F3-4106-A141-F28EF429ADB1}" name="Customer Typ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Q28" sqref="Q28"/>
    </sheetView>
  </sheetViews>
  <sheetFormatPr defaultColWidth="16.5703125" defaultRowHeight="15" x14ac:dyDescent="0.25"/>
  <cols>
    <col min="10" max="10" width="16.5703125" style="2"/>
    <col min="11" max="11" width="18.5703125" customWidth="1"/>
  </cols>
  <sheetData>
    <row r="1" spans="1:12" x14ac:dyDescent="0.25">
      <c r="A1" s="1" t="s">
        <v>0</v>
      </c>
      <c r="B1" s="1" t="s">
        <v>329</v>
      </c>
      <c r="C1" s="1" t="s">
        <v>335</v>
      </c>
      <c r="D1" s="1" t="s">
        <v>1</v>
      </c>
      <c r="E1" s="1" t="s">
        <v>2</v>
      </c>
      <c r="F1" s="1" t="s">
        <v>3</v>
      </c>
      <c r="G1" s="1" t="s">
        <v>4</v>
      </c>
      <c r="H1" s="1" t="s">
        <v>5</v>
      </c>
      <c r="I1" s="1" t="s">
        <v>6</v>
      </c>
      <c r="J1" s="3" t="s">
        <v>7</v>
      </c>
      <c r="K1" s="1" t="s">
        <v>8</v>
      </c>
      <c r="L1" s="1" t="s">
        <v>9</v>
      </c>
    </row>
    <row r="2" spans="1:12" x14ac:dyDescent="0.25">
      <c r="A2" t="s">
        <v>10</v>
      </c>
      <c r="B2" t="s">
        <v>317</v>
      </c>
      <c r="C2" t="s">
        <v>336</v>
      </c>
      <c r="D2" t="s">
        <v>288</v>
      </c>
      <c r="E2" t="s">
        <v>292</v>
      </c>
      <c r="F2" t="s">
        <v>300</v>
      </c>
      <c r="G2" t="s">
        <v>308</v>
      </c>
      <c r="H2">
        <v>8</v>
      </c>
      <c r="I2">
        <v>507</v>
      </c>
      <c r="J2" s="2">
        <v>4056</v>
      </c>
      <c r="K2" t="s">
        <v>311</v>
      </c>
      <c r="L2" t="s">
        <v>315</v>
      </c>
    </row>
    <row r="3" spans="1:12" x14ac:dyDescent="0.25">
      <c r="A3" t="s">
        <v>11</v>
      </c>
      <c r="B3" t="s">
        <v>318</v>
      </c>
      <c r="C3" t="s">
        <v>337</v>
      </c>
      <c r="D3" t="s">
        <v>289</v>
      </c>
      <c r="E3" t="s">
        <v>293</v>
      </c>
      <c r="F3" t="s">
        <v>300</v>
      </c>
      <c r="G3" t="s">
        <v>308</v>
      </c>
      <c r="H3">
        <v>1</v>
      </c>
      <c r="I3">
        <v>241</v>
      </c>
      <c r="J3" s="2">
        <v>241</v>
      </c>
      <c r="K3" t="s">
        <v>311</v>
      </c>
      <c r="L3" t="s">
        <v>315</v>
      </c>
    </row>
    <row r="4" spans="1:12" x14ac:dyDescent="0.25">
      <c r="A4" t="s">
        <v>12</v>
      </c>
      <c r="B4" t="s">
        <v>319</v>
      </c>
      <c r="C4" t="s">
        <v>338</v>
      </c>
      <c r="D4" t="s">
        <v>290</v>
      </c>
      <c r="E4" t="s">
        <v>294</v>
      </c>
      <c r="F4" t="s">
        <v>301</v>
      </c>
      <c r="G4" t="s">
        <v>309</v>
      </c>
      <c r="H4">
        <v>8</v>
      </c>
      <c r="I4">
        <v>969</v>
      </c>
      <c r="J4" s="2">
        <v>7752</v>
      </c>
      <c r="K4" t="s">
        <v>312</v>
      </c>
      <c r="L4" t="s">
        <v>315</v>
      </c>
    </row>
    <row r="5" spans="1:12" x14ac:dyDescent="0.25">
      <c r="A5" t="s">
        <v>13</v>
      </c>
      <c r="B5" t="s">
        <v>320</v>
      </c>
      <c r="C5" t="s">
        <v>339</v>
      </c>
      <c r="D5" t="s">
        <v>291</v>
      </c>
      <c r="E5" t="s">
        <v>292</v>
      </c>
      <c r="F5" t="s">
        <v>302</v>
      </c>
      <c r="G5" t="s">
        <v>310</v>
      </c>
      <c r="H5">
        <v>5</v>
      </c>
      <c r="I5">
        <v>490</v>
      </c>
      <c r="J5" s="2">
        <v>2450</v>
      </c>
      <c r="K5" t="s">
        <v>312</v>
      </c>
      <c r="L5" t="s">
        <v>315</v>
      </c>
    </row>
    <row r="6" spans="1:12" x14ac:dyDescent="0.25">
      <c r="A6" t="s">
        <v>14</v>
      </c>
      <c r="B6" t="s">
        <v>321</v>
      </c>
      <c r="C6" t="s">
        <v>340</v>
      </c>
      <c r="D6" t="s">
        <v>288</v>
      </c>
      <c r="E6" t="s">
        <v>295</v>
      </c>
      <c r="F6" t="s">
        <v>302</v>
      </c>
      <c r="G6" t="s">
        <v>310</v>
      </c>
      <c r="H6">
        <v>12</v>
      </c>
      <c r="I6">
        <v>1286</v>
      </c>
      <c r="J6" s="2">
        <v>15432</v>
      </c>
      <c r="K6" t="s">
        <v>312</v>
      </c>
      <c r="L6" t="s">
        <v>315</v>
      </c>
    </row>
    <row r="7" spans="1:12" x14ac:dyDescent="0.25">
      <c r="A7" t="s">
        <v>15</v>
      </c>
      <c r="B7" t="s">
        <v>322</v>
      </c>
      <c r="C7" t="s">
        <v>341</v>
      </c>
      <c r="D7" t="s">
        <v>289</v>
      </c>
      <c r="E7" t="s">
        <v>296</v>
      </c>
      <c r="F7" t="s">
        <v>300</v>
      </c>
      <c r="G7" t="s">
        <v>308</v>
      </c>
      <c r="H7">
        <v>18</v>
      </c>
      <c r="I7">
        <v>650</v>
      </c>
      <c r="J7" s="2">
        <v>11700</v>
      </c>
      <c r="K7" t="s">
        <v>312</v>
      </c>
      <c r="L7" t="s">
        <v>315</v>
      </c>
    </row>
    <row r="8" spans="1:12" x14ac:dyDescent="0.25">
      <c r="A8" t="s">
        <v>16</v>
      </c>
      <c r="B8" t="s">
        <v>318</v>
      </c>
      <c r="C8" t="s">
        <v>337</v>
      </c>
      <c r="D8" t="s">
        <v>288</v>
      </c>
      <c r="E8" t="s">
        <v>297</v>
      </c>
      <c r="F8" t="s">
        <v>300</v>
      </c>
      <c r="G8" t="s">
        <v>308</v>
      </c>
      <c r="H8">
        <v>10</v>
      </c>
      <c r="I8">
        <v>213</v>
      </c>
      <c r="J8" s="2">
        <v>2130</v>
      </c>
      <c r="K8" t="s">
        <v>311</v>
      </c>
      <c r="L8" t="s">
        <v>315</v>
      </c>
    </row>
    <row r="9" spans="1:12" x14ac:dyDescent="0.25">
      <c r="A9" t="s">
        <v>17</v>
      </c>
      <c r="B9" t="s">
        <v>323</v>
      </c>
      <c r="C9" t="s">
        <v>342</v>
      </c>
      <c r="D9" t="s">
        <v>289</v>
      </c>
      <c r="E9" t="s">
        <v>295</v>
      </c>
      <c r="F9" t="s">
        <v>303</v>
      </c>
      <c r="G9" t="s">
        <v>309</v>
      </c>
      <c r="H9">
        <v>6</v>
      </c>
      <c r="I9">
        <v>808</v>
      </c>
      <c r="J9" s="2">
        <v>4848</v>
      </c>
      <c r="K9" t="s">
        <v>312</v>
      </c>
      <c r="L9" t="s">
        <v>315</v>
      </c>
    </row>
    <row r="10" spans="1:12" x14ac:dyDescent="0.25">
      <c r="A10" t="s">
        <v>18</v>
      </c>
      <c r="B10" t="s">
        <v>318</v>
      </c>
      <c r="C10" t="s">
        <v>337</v>
      </c>
      <c r="D10" t="s">
        <v>288</v>
      </c>
      <c r="E10" t="s">
        <v>298</v>
      </c>
      <c r="F10" t="s">
        <v>303</v>
      </c>
      <c r="G10" t="s">
        <v>309</v>
      </c>
      <c r="H10">
        <v>18</v>
      </c>
      <c r="I10">
        <v>551</v>
      </c>
      <c r="J10" s="2">
        <v>9918</v>
      </c>
      <c r="K10" t="s">
        <v>311</v>
      </c>
      <c r="L10" t="s">
        <v>316</v>
      </c>
    </row>
    <row r="11" spans="1:12" x14ac:dyDescent="0.25">
      <c r="A11" t="s">
        <v>17</v>
      </c>
      <c r="B11" t="s">
        <v>323</v>
      </c>
      <c r="C11" t="s">
        <v>342</v>
      </c>
      <c r="D11" t="s">
        <v>290</v>
      </c>
      <c r="E11" t="s">
        <v>295</v>
      </c>
      <c r="F11" t="s">
        <v>303</v>
      </c>
      <c r="G11" t="s">
        <v>309</v>
      </c>
      <c r="H11">
        <v>2</v>
      </c>
      <c r="I11">
        <v>519</v>
      </c>
      <c r="J11" s="2">
        <v>1038</v>
      </c>
      <c r="K11" t="s">
        <v>313</v>
      </c>
      <c r="L11" t="s">
        <v>316</v>
      </c>
    </row>
    <row r="12" spans="1:12" x14ac:dyDescent="0.25">
      <c r="A12" t="s">
        <v>19</v>
      </c>
      <c r="B12" t="s">
        <v>323</v>
      </c>
      <c r="C12" t="s">
        <v>342</v>
      </c>
      <c r="D12" t="s">
        <v>288</v>
      </c>
      <c r="E12" t="s">
        <v>297</v>
      </c>
      <c r="F12" t="s">
        <v>303</v>
      </c>
      <c r="G12" t="s">
        <v>309</v>
      </c>
      <c r="H12">
        <v>19</v>
      </c>
      <c r="I12">
        <v>694</v>
      </c>
      <c r="J12" s="2">
        <v>13186</v>
      </c>
      <c r="K12" t="s">
        <v>311</v>
      </c>
      <c r="L12" t="s">
        <v>316</v>
      </c>
    </row>
    <row r="13" spans="1:12" x14ac:dyDescent="0.25">
      <c r="A13" t="s">
        <v>20</v>
      </c>
      <c r="B13" t="s">
        <v>323</v>
      </c>
      <c r="C13" t="s">
        <v>342</v>
      </c>
      <c r="D13" t="s">
        <v>290</v>
      </c>
      <c r="E13" t="s">
        <v>292</v>
      </c>
      <c r="F13" t="s">
        <v>304</v>
      </c>
      <c r="G13" t="s">
        <v>310</v>
      </c>
      <c r="H13">
        <v>5</v>
      </c>
      <c r="I13">
        <v>555</v>
      </c>
      <c r="J13" s="2">
        <v>2775</v>
      </c>
      <c r="K13" t="s">
        <v>312</v>
      </c>
      <c r="L13" t="s">
        <v>316</v>
      </c>
    </row>
    <row r="14" spans="1:12" x14ac:dyDescent="0.25">
      <c r="A14" t="s">
        <v>21</v>
      </c>
      <c r="B14" t="s">
        <v>324</v>
      </c>
      <c r="C14" t="s">
        <v>343</v>
      </c>
      <c r="D14" t="s">
        <v>291</v>
      </c>
      <c r="E14" t="s">
        <v>297</v>
      </c>
      <c r="F14" t="s">
        <v>302</v>
      </c>
      <c r="G14" t="s">
        <v>310</v>
      </c>
      <c r="H14">
        <v>5</v>
      </c>
      <c r="I14">
        <v>1093</v>
      </c>
      <c r="J14" s="2">
        <v>5465</v>
      </c>
      <c r="K14" t="s">
        <v>314</v>
      </c>
      <c r="L14" t="s">
        <v>315</v>
      </c>
    </row>
    <row r="15" spans="1:12" x14ac:dyDescent="0.25">
      <c r="A15" t="s">
        <v>22</v>
      </c>
      <c r="B15" t="s">
        <v>325</v>
      </c>
      <c r="C15" t="s">
        <v>344</v>
      </c>
      <c r="D15" t="s">
        <v>290</v>
      </c>
      <c r="E15" t="s">
        <v>298</v>
      </c>
      <c r="F15" t="s">
        <v>300</v>
      </c>
      <c r="G15" t="s">
        <v>308</v>
      </c>
      <c r="H15">
        <v>14</v>
      </c>
      <c r="I15">
        <v>1271</v>
      </c>
      <c r="J15" s="2">
        <v>17794</v>
      </c>
      <c r="K15" t="s">
        <v>313</v>
      </c>
      <c r="L15" t="s">
        <v>316</v>
      </c>
    </row>
    <row r="16" spans="1:12" x14ac:dyDescent="0.25">
      <c r="A16" t="s">
        <v>23</v>
      </c>
      <c r="B16" t="s">
        <v>323</v>
      </c>
      <c r="C16" t="s">
        <v>342</v>
      </c>
      <c r="D16" t="s">
        <v>291</v>
      </c>
      <c r="E16" t="s">
        <v>293</v>
      </c>
      <c r="F16" t="s">
        <v>304</v>
      </c>
      <c r="G16" t="s">
        <v>310</v>
      </c>
      <c r="H16">
        <v>4</v>
      </c>
      <c r="I16">
        <v>1446</v>
      </c>
      <c r="J16" s="2">
        <v>5784</v>
      </c>
      <c r="K16" t="s">
        <v>312</v>
      </c>
      <c r="L16" t="s">
        <v>316</v>
      </c>
    </row>
    <row r="17" spans="1:12" x14ac:dyDescent="0.25">
      <c r="A17" t="s">
        <v>24</v>
      </c>
      <c r="B17" t="s">
        <v>321</v>
      </c>
      <c r="C17" t="s">
        <v>340</v>
      </c>
      <c r="D17" t="s">
        <v>289</v>
      </c>
      <c r="E17" t="s">
        <v>298</v>
      </c>
      <c r="F17" t="s">
        <v>303</v>
      </c>
      <c r="G17" t="s">
        <v>309</v>
      </c>
      <c r="H17">
        <v>15</v>
      </c>
      <c r="I17">
        <v>56</v>
      </c>
      <c r="J17" s="2">
        <v>840</v>
      </c>
      <c r="K17" t="s">
        <v>312</v>
      </c>
      <c r="L17" t="s">
        <v>315</v>
      </c>
    </row>
    <row r="18" spans="1:12" x14ac:dyDescent="0.25">
      <c r="A18" t="s">
        <v>25</v>
      </c>
      <c r="B18" t="s">
        <v>319</v>
      </c>
      <c r="C18" t="s">
        <v>338</v>
      </c>
      <c r="D18" t="s">
        <v>291</v>
      </c>
      <c r="E18" t="s">
        <v>297</v>
      </c>
      <c r="F18" t="s">
        <v>300</v>
      </c>
      <c r="G18" t="s">
        <v>308</v>
      </c>
      <c r="H18">
        <v>5</v>
      </c>
      <c r="I18">
        <v>815</v>
      </c>
      <c r="J18" s="2">
        <v>4075</v>
      </c>
      <c r="K18" t="s">
        <v>311</v>
      </c>
      <c r="L18" t="s">
        <v>315</v>
      </c>
    </row>
    <row r="19" spans="1:12" x14ac:dyDescent="0.25">
      <c r="A19" t="s">
        <v>26</v>
      </c>
      <c r="B19" t="s">
        <v>317</v>
      </c>
      <c r="C19" t="s">
        <v>336</v>
      </c>
      <c r="D19" t="s">
        <v>289</v>
      </c>
      <c r="E19" t="s">
        <v>293</v>
      </c>
      <c r="F19" t="s">
        <v>305</v>
      </c>
      <c r="G19" t="s">
        <v>310</v>
      </c>
      <c r="H19">
        <v>4</v>
      </c>
      <c r="I19">
        <v>793</v>
      </c>
      <c r="J19" s="2">
        <v>3172</v>
      </c>
      <c r="K19" t="s">
        <v>312</v>
      </c>
      <c r="L19" t="s">
        <v>315</v>
      </c>
    </row>
    <row r="20" spans="1:12" x14ac:dyDescent="0.25">
      <c r="A20" t="s">
        <v>27</v>
      </c>
      <c r="B20" t="s">
        <v>325</v>
      </c>
      <c r="C20" t="s">
        <v>344</v>
      </c>
      <c r="D20" t="s">
        <v>288</v>
      </c>
      <c r="E20" t="s">
        <v>296</v>
      </c>
      <c r="F20" t="s">
        <v>306</v>
      </c>
      <c r="G20" t="s">
        <v>309</v>
      </c>
      <c r="H20">
        <v>16</v>
      </c>
      <c r="I20">
        <v>191</v>
      </c>
      <c r="J20" s="2">
        <v>3056</v>
      </c>
      <c r="K20" t="s">
        <v>311</v>
      </c>
      <c r="L20" t="s">
        <v>315</v>
      </c>
    </row>
    <row r="21" spans="1:12" x14ac:dyDescent="0.25">
      <c r="A21" t="s">
        <v>28</v>
      </c>
      <c r="B21" t="s">
        <v>318</v>
      </c>
      <c r="C21" t="s">
        <v>337</v>
      </c>
      <c r="D21" t="s">
        <v>290</v>
      </c>
      <c r="E21" t="s">
        <v>292</v>
      </c>
      <c r="F21" t="s">
        <v>304</v>
      </c>
      <c r="G21" t="s">
        <v>310</v>
      </c>
      <c r="H21">
        <v>17</v>
      </c>
      <c r="I21">
        <v>1292</v>
      </c>
      <c r="J21" s="2">
        <v>21964</v>
      </c>
      <c r="K21" t="s">
        <v>314</v>
      </c>
      <c r="L21" t="s">
        <v>315</v>
      </c>
    </row>
    <row r="22" spans="1:12" x14ac:dyDescent="0.25">
      <c r="A22" t="s">
        <v>29</v>
      </c>
      <c r="B22" t="s">
        <v>324</v>
      </c>
      <c r="C22" t="s">
        <v>343</v>
      </c>
      <c r="D22" t="s">
        <v>291</v>
      </c>
      <c r="E22" t="s">
        <v>294</v>
      </c>
      <c r="F22" t="s">
        <v>306</v>
      </c>
      <c r="G22" t="s">
        <v>309</v>
      </c>
      <c r="H22">
        <v>12</v>
      </c>
      <c r="I22">
        <v>947</v>
      </c>
      <c r="J22" s="2">
        <v>11364</v>
      </c>
      <c r="K22" t="s">
        <v>314</v>
      </c>
      <c r="L22" t="s">
        <v>315</v>
      </c>
    </row>
    <row r="23" spans="1:12" x14ac:dyDescent="0.25">
      <c r="A23" t="s">
        <v>30</v>
      </c>
      <c r="B23" t="s">
        <v>326</v>
      </c>
      <c r="C23" t="s">
        <v>326</v>
      </c>
      <c r="D23" t="s">
        <v>288</v>
      </c>
      <c r="E23" t="s">
        <v>295</v>
      </c>
      <c r="F23" t="s">
        <v>306</v>
      </c>
      <c r="G23" t="s">
        <v>309</v>
      </c>
      <c r="H23">
        <v>1</v>
      </c>
      <c r="I23">
        <v>1254</v>
      </c>
      <c r="J23" s="2">
        <v>1254</v>
      </c>
      <c r="K23" t="s">
        <v>311</v>
      </c>
      <c r="L23" t="s">
        <v>315</v>
      </c>
    </row>
    <row r="24" spans="1:12" x14ac:dyDescent="0.25">
      <c r="A24" t="s">
        <v>31</v>
      </c>
      <c r="B24" t="s">
        <v>325</v>
      </c>
      <c r="C24" t="s">
        <v>344</v>
      </c>
      <c r="D24" t="s">
        <v>288</v>
      </c>
      <c r="E24" t="s">
        <v>297</v>
      </c>
      <c r="F24" t="s">
        <v>300</v>
      </c>
      <c r="G24" t="s">
        <v>308</v>
      </c>
      <c r="H24">
        <v>3</v>
      </c>
      <c r="I24">
        <v>114</v>
      </c>
      <c r="J24" s="2">
        <v>342</v>
      </c>
      <c r="K24" t="s">
        <v>312</v>
      </c>
      <c r="L24" t="s">
        <v>315</v>
      </c>
    </row>
    <row r="25" spans="1:12" x14ac:dyDescent="0.25">
      <c r="A25" t="s">
        <v>32</v>
      </c>
      <c r="B25" t="s">
        <v>319</v>
      </c>
      <c r="C25" t="s">
        <v>338</v>
      </c>
      <c r="D25" t="s">
        <v>291</v>
      </c>
      <c r="E25" t="s">
        <v>299</v>
      </c>
      <c r="F25" t="s">
        <v>306</v>
      </c>
      <c r="G25" t="s">
        <v>309</v>
      </c>
      <c r="H25">
        <v>7</v>
      </c>
      <c r="I25">
        <v>1154</v>
      </c>
      <c r="J25" s="2">
        <v>8078</v>
      </c>
      <c r="K25" t="s">
        <v>311</v>
      </c>
      <c r="L25" t="s">
        <v>316</v>
      </c>
    </row>
    <row r="26" spans="1:12" x14ac:dyDescent="0.25">
      <c r="A26" t="s">
        <v>33</v>
      </c>
      <c r="B26" t="s">
        <v>326</v>
      </c>
      <c r="C26" t="s">
        <v>326</v>
      </c>
      <c r="D26" t="s">
        <v>289</v>
      </c>
      <c r="E26" t="s">
        <v>297</v>
      </c>
      <c r="F26" t="s">
        <v>304</v>
      </c>
      <c r="G26" t="s">
        <v>310</v>
      </c>
      <c r="H26">
        <v>4</v>
      </c>
      <c r="I26">
        <v>248</v>
      </c>
      <c r="J26" s="2">
        <v>992</v>
      </c>
      <c r="K26" t="s">
        <v>314</v>
      </c>
      <c r="L26" t="s">
        <v>316</v>
      </c>
    </row>
    <row r="27" spans="1:12" x14ac:dyDescent="0.25">
      <c r="A27" t="s">
        <v>34</v>
      </c>
      <c r="B27" t="s">
        <v>322</v>
      </c>
      <c r="C27" t="s">
        <v>341</v>
      </c>
      <c r="D27" t="s">
        <v>289</v>
      </c>
      <c r="E27" t="s">
        <v>293</v>
      </c>
      <c r="F27" t="s">
        <v>302</v>
      </c>
      <c r="G27" t="s">
        <v>310</v>
      </c>
      <c r="H27">
        <v>4</v>
      </c>
      <c r="I27">
        <v>174</v>
      </c>
      <c r="J27" s="2">
        <v>696</v>
      </c>
      <c r="K27" t="s">
        <v>314</v>
      </c>
      <c r="L27" t="s">
        <v>316</v>
      </c>
    </row>
    <row r="28" spans="1:12" x14ac:dyDescent="0.25">
      <c r="A28" t="s">
        <v>35</v>
      </c>
      <c r="B28" t="s">
        <v>321</v>
      </c>
      <c r="C28" t="s">
        <v>340</v>
      </c>
      <c r="D28" t="s">
        <v>290</v>
      </c>
      <c r="E28" t="s">
        <v>297</v>
      </c>
      <c r="F28" t="s">
        <v>306</v>
      </c>
      <c r="G28" t="s">
        <v>309</v>
      </c>
      <c r="H28">
        <v>18</v>
      </c>
      <c r="I28">
        <v>968</v>
      </c>
      <c r="J28" s="2">
        <v>17424</v>
      </c>
      <c r="K28" t="s">
        <v>311</v>
      </c>
      <c r="L28" t="s">
        <v>316</v>
      </c>
    </row>
    <row r="29" spans="1:12" x14ac:dyDescent="0.25">
      <c r="A29" t="s">
        <v>36</v>
      </c>
      <c r="B29" t="s">
        <v>327</v>
      </c>
      <c r="C29" t="s">
        <v>345</v>
      </c>
      <c r="D29" t="s">
        <v>289</v>
      </c>
      <c r="E29" t="s">
        <v>297</v>
      </c>
      <c r="F29" t="s">
        <v>303</v>
      </c>
      <c r="G29" t="s">
        <v>309</v>
      </c>
      <c r="H29">
        <v>3</v>
      </c>
      <c r="I29">
        <v>957</v>
      </c>
      <c r="J29" s="2">
        <v>2871</v>
      </c>
      <c r="K29" t="s">
        <v>313</v>
      </c>
      <c r="L29" t="s">
        <v>315</v>
      </c>
    </row>
    <row r="30" spans="1:12" x14ac:dyDescent="0.25">
      <c r="A30" t="s">
        <v>37</v>
      </c>
      <c r="B30" t="s">
        <v>317</v>
      </c>
      <c r="C30" t="s">
        <v>336</v>
      </c>
      <c r="D30" t="s">
        <v>288</v>
      </c>
      <c r="E30" t="s">
        <v>297</v>
      </c>
      <c r="F30" t="s">
        <v>301</v>
      </c>
      <c r="G30" t="s">
        <v>309</v>
      </c>
      <c r="H30">
        <v>6</v>
      </c>
      <c r="I30">
        <v>882</v>
      </c>
      <c r="J30" s="2">
        <v>5292</v>
      </c>
      <c r="K30" t="s">
        <v>314</v>
      </c>
      <c r="L30" t="s">
        <v>316</v>
      </c>
    </row>
    <row r="31" spans="1:12" x14ac:dyDescent="0.25">
      <c r="A31" t="s">
        <v>38</v>
      </c>
      <c r="B31" t="s">
        <v>327</v>
      </c>
      <c r="C31" t="s">
        <v>345</v>
      </c>
      <c r="D31" t="s">
        <v>288</v>
      </c>
      <c r="E31" t="s">
        <v>298</v>
      </c>
      <c r="F31" t="s">
        <v>302</v>
      </c>
      <c r="G31" t="s">
        <v>310</v>
      </c>
      <c r="H31">
        <v>13</v>
      </c>
      <c r="I31">
        <v>54</v>
      </c>
      <c r="J31" s="2">
        <v>702</v>
      </c>
      <c r="K31" t="s">
        <v>314</v>
      </c>
      <c r="L31" t="s">
        <v>316</v>
      </c>
    </row>
    <row r="32" spans="1:12" x14ac:dyDescent="0.25">
      <c r="A32" t="s">
        <v>39</v>
      </c>
      <c r="B32" t="s">
        <v>322</v>
      </c>
      <c r="C32" t="s">
        <v>341</v>
      </c>
      <c r="D32" t="s">
        <v>289</v>
      </c>
      <c r="E32" t="s">
        <v>299</v>
      </c>
      <c r="F32" t="s">
        <v>303</v>
      </c>
      <c r="G32" t="s">
        <v>309</v>
      </c>
      <c r="H32">
        <v>5</v>
      </c>
      <c r="I32">
        <v>438</v>
      </c>
      <c r="J32" s="2">
        <v>2190</v>
      </c>
      <c r="K32" t="s">
        <v>312</v>
      </c>
      <c r="L32" t="s">
        <v>315</v>
      </c>
    </row>
    <row r="33" spans="1:12" x14ac:dyDescent="0.25">
      <c r="A33" t="s">
        <v>27</v>
      </c>
      <c r="B33" t="s">
        <v>325</v>
      </c>
      <c r="C33" t="s">
        <v>344</v>
      </c>
      <c r="D33" t="s">
        <v>291</v>
      </c>
      <c r="E33" t="s">
        <v>293</v>
      </c>
      <c r="F33" t="s">
        <v>301</v>
      </c>
      <c r="G33" t="s">
        <v>309</v>
      </c>
      <c r="H33">
        <v>2</v>
      </c>
      <c r="I33">
        <v>1246</v>
      </c>
      <c r="J33" s="2">
        <v>2492</v>
      </c>
      <c r="K33" t="s">
        <v>314</v>
      </c>
      <c r="L33" t="s">
        <v>315</v>
      </c>
    </row>
    <row r="34" spans="1:12" x14ac:dyDescent="0.25">
      <c r="A34" t="s">
        <v>27</v>
      </c>
      <c r="B34" t="s">
        <v>325</v>
      </c>
      <c r="C34" t="s">
        <v>344</v>
      </c>
      <c r="D34" t="s">
        <v>290</v>
      </c>
      <c r="E34" t="s">
        <v>296</v>
      </c>
      <c r="F34" t="s">
        <v>300</v>
      </c>
      <c r="G34" t="s">
        <v>308</v>
      </c>
      <c r="H34">
        <v>20</v>
      </c>
      <c r="I34">
        <v>189</v>
      </c>
      <c r="J34" s="2">
        <v>3780</v>
      </c>
      <c r="K34" t="s">
        <v>311</v>
      </c>
      <c r="L34" t="s">
        <v>316</v>
      </c>
    </row>
    <row r="35" spans="1:12" x14ac:dyDescent="0.25">
      <c r="A35" t="s">
        <v>40</v>
      </c>
      <c r="B35" t="s">
        <v>320</v>
      </c>
      <c r="C35" t="s">
        <v>339</v>
      </c>
      <c r="D35" t="s">
        <v>288</v>
      </c>
      <c r="E35" t="s">
        <v>296</v>
      </c>
      <c r="F35" t="s">
        <v>306</v>
      </c>
      <c r="G35" t="s">
        <v>309</v>
      </c>
      <c r="H35">
        <v>14</v>
      </c>
      <c r="I35">
        <v>1396</v>
      </c>
      <c r="J35" s="2">
        <v>19544</v>
      </c>
      <c r="K35" t="s">
        <v>312</v>
      </c>
      <c r="L35" t="s">
        <v>316</v>
      </c>
    </row>
    <row r="36" spans="1:12" x14ac:dyDescent="0.25">
      <c r="A36" t="s">
        <v>41</v>
      </c>
      <c r="B36" t="s">
        <v>327</v>
      </c>
      <c r="C36" t="s">
        <v>345</v>
      </c>
      <c r="D36" t="s">
        <v>290</v>
      </c>
      <c r="E36" t="s">
        <v>292</v>
      </c>
      <c r="F36" t="s">
        <v>305</v>
      </c>
      <c r="G36" t="s">
        <v>310</v>
      </c>
      <c r="H36">
        <v>13</v>
      </c>
      <c r="I36">
        <v>318</v>
      </c>
      <c r="J36" s="2">
        <v>4134</v>
      </c>
      <c r="K36" t="s">
        <v>312</v>
      </c>
      <c r="L36" t="s">
        <v>316</v>
      </c>
    </row>
    <row r="37" spans="1:12" x14ac:dyDescent="0.25">
      <c r="A37" t="s">
        <v>42</v>
      </c>
      <c r="B37" t="s">
        <v>328</v>
      </c>
      <c r="C37" t="s">
        <v>346</v>
      </c>
      <c r="D37" t="s">
        <v>288</v>
      </c>
      <c r="E37" t="s">
        <v>299</v>
      </c>
      <c r="F37" t="s">
        <v>300</v>
      </c>
      <c r="G37" t="s">
        <v>308</v>
      </c>
      <c r="H37">
        <v>20</v>
      </c>
      <c r="I37">
        <v>1203</v>
      </c>
      <c r="J37" s="2">
        <v>24060</v>
      </c>
      <c r="K37" t="s">
        <v>313</v>
      </c>
      <c r="L37" t="s">
        <v>315</v>
      </c>
    </row>
    <row r="38" spans="1:12" x14ac:dyDescent="0.25">
      <c r="A38" t="s">
        <v>43</v>
      </c>
      <c r="B38" t="s">
        <v>324</v>
      </c>
      <c r="C38" t="s">
        <v>343</v>
      </c>
      <c r="D38" t="s">
        <v>291</v>
      </c>
      <c r="E38" t="s">
        <v>298</v>
      </c>
      <c r="F38" t="s">
        <v>306</v>
      </c>
      <c r="G38" t="s">
        <v>309</v>
      </c>
      <c r="H38">
        <v>12</v>
      </c>
      <c r="I38">
        <v>190</v>
      </c>
      <c r="J38" s="2">
        <v>2280</v>
      </c>
      <c r="K38" t="s">
        <v>311</v>
      </c>
      <c r="L38" t="s">
        <v>316</v>
      </c>
    </row>
    <row r="39" spans="1:12" x14ac:dyDescent="0.25">
      <c r="A39" t="s">
        <v>44</v>
      </c>
      <c r="B39" t="s">
        <v>326</v>
      </c>
      <c r="C39" t="s">
        <v>326</v>
      </c>
      <c r="D39" t="s">
        <v>289</v>
      </c>
      <c r="E39" t="s">
        <v>292</v>
      </c>
      <c r="F39" t="s">
        <v>307</v>
      </c>
      <c r="G39" t="s">
        <v>309</v>
      </c>
      <c r="H39">
        <v>20</v>
      </c>
      <c r="I39">
        <v>1389</v>
      </c>
      <c r="J39" s="2">
        <v>27780</v>
      </c>
      <c r="K39" t="s">
        <v>313</v>
      </c>
      <c r="L39" t="s">
        <v>316</v>
      </c>
    </row>
    <row r="40" spans="1:12" x14ac:dyDescent="0.25">
      <c r="A40" t="s">
        <v>45</v>
      </c>
      <c r="B40" t="s">
        <v>318</v>
      </c>
      <c r="C40" t="s">
        <v>337</v>
      </c>
      <c r="D40" t="s">
        <v>290</v>
      </c>
      <c r="E40" t="s">
        <v>292</v>
      </c>
      <c r="F40" t="s">
        <v>300</v>
      </c>
      <c r="G40" t="s">
        <v>308</v>
      </c>
      <c r="H40">
        <v>4</v>
      </c>
      <c r="I40">
        <v>269</v>
      </c>
      <c r="J40" s="2">
        <v>1076</v>
      </c>
      <c r="K40" t="s">
        <v>311</v>
      </c>
      <c r="L40" t="s">
        <v>316</v>
      </c>
    </row>
    <row r="41" spans="1:12" x14ac:dyDescent="0.25">
      <c r="A41" t="s">
        <v>46</v>
      </c>
      <c r="B41" t="s">
        <v>326</v>
      </c>
      <c r="C41" t="s">
        <v>326</v>
      </c>
      <c r="D41" t="s">
        <v>291</v>
      </c>
      <c r="E41" t="s">
        <v>297</v>
      </c>
      <c r="F41" t="s">
        <v>306</v>
      </c>
      <c r="G41" t="s">
        <v>309</v>
      </c>
      <c r="H41">
        <v>9</v>
      </c>
      <c r="I41">
        <v>1085</v>
      </c>
      <c r="J41" s="2">
        <v>9765</v>
      </c>
      <c r="K41" t="s">
        <v>314</v>
      </c>
      <c r="L41" t="s">
        <v>316</v>
      </c>
    </row>
    <row r="42" spans="1:12" x14ac:dyDescent="0.25">
      <c r="A42" t="s">
        <v>47</v>
      </c>
      <c r="B42" t="s">
        <v>325</v>
      </c>
      <c r="C42" t="s">
        <v>344</v>
      </c>
      <c r="D42" t="s">
        <v>289</v>
      </c>
      <c r="E42" t="s">
        <v>292</v>
      </c>
      <c r="F42" t="s">
        <v>300</v>
      </c>
      <c r="G42" t="s">
        <v>308</v>
      </c>
      <c r="H42">
        <v>2</v>
      </c>
      <c r="I42">
        <v>57</v>
      </c>
      <c r="J42" s="2">
        <v>114</v>
      </c>
      <c r="K42" t="s">
        <v>312</v>
      </c>
      <c r="L42" t="s">
        <v>315</v>
      </c>
    </row>
    <row r="43" spans="1:12" x14ac:dyDescent="0.25">
      <c r="A43" t="s">
        <v>48</v>
      </c>
      <c r="B43" t="s">
        <v>317</v>
      </c>
      <c r="C43" t="s">
        <v>336</v>
      </c>
      <c r="D43" t="s">
        <v>290</v>
      </c>
      <c r="E43" t="s">
        <v>299</v>
      </c>
      <c r="F43" t="s">
        <v>303</v>
      </c>
      <c r="G43" t="s">
        <v>309</v>
      </c>
      <c r="H43">
        <v>18</v>
      </c>
      <c r="I43">
        <v>1495</v>
      </c>
      <c r="J43" s="2">
        <v>26910</v>
      </c>
      <c r="K43" t="s">
        <v>314</v>
      </c>
      <c r="L43" t="s">
        <v>315</v>
      </c>
    </row>
    <row r="44" spans="1:12" x14ac:dyDescent="0.25">
      <c r="A44" t="s">
        <v>24</v>
      </c>
      <c r="B44" t="s">
        <v>321</v>
      </c>
      <c r="C44" t="s">
        <v>340</v>
      </c>
      <c r="D44" t="s">
        <v>290</v>
      </c>
      <c r="E44" t="s">
        <v>293</v>
      </c>
      <c r="F44" t="s">
        <v>300</v>
      </c>
      <c r="G44" t="s">
        <v>308</v>
      </c>
      <c r="H44">
        <v>12</v>
      </c>
      <c r="I44">
        <v>1242</v>
      </c>
      <c r="J44" s="2">
        <v>14904</v>
      </c>
      <c r="K44" t="s">
        <v>311</v>
      </c>
      <c r="L44" t="s">
        <v>316</v>
      </c>
    </row>
    <row r="45" spans="1:12" x14ac:dyDescent="0.25">
      <c r="A45" t="s">
        <v>49</v>
      </c>
      <c r="B45" t="s">
        <v>320</v>
      </c>
      <c r="C45" t="s">
        <v>339</v>
      </c>
      <c r="D45" t="s">
        <v>291</v>
      </c>
      <c r="E45" t="s">
        <v>295</v>
      </c>
      <c r="F45" t="s">
        <v>301</v>
      </c>
      <c r="G45" t="s">
        <v>309</v>
      </c>
      <c r="H45">
        <v>2</v>
      </c>
      <c r="I45">
        <v>782</v>
      </c>
      <c r="J45" s="2">
        <v>1564</v>
      </c>
      <c r="K45" t="s">
        <v>311</v>
      </c>
      <c r="L45" t="s">
        <v>315</v>
      </c>
    </row>
    <row r="46" spans="1:12" x14ac:dyDescent="0.25">
      <c r="A46" t="s">
        <v>50</v>
      </c>
      <c r="B46" t="s">
        <v>318</v>
      </c>
      <c r="C46" t="s">
        <v>337</v>
      </c>
      <c r="D46" t="s">
        <v>291</v>
      </c>
      <c r="E46" t="s">
        <v>294</v>
      </c>
      <c r="F46" t="s">
        <v>300</v>
      </c>
      <c r="G46" t="s">
        <v>308</v>
      </c>
      <c r="H46">
        <v>20</v>
      </c>
      <c r="I46">
        <v>366</v>
      </c>
      <c r="J46" s="2">
        <v>7320</v>
      </c>
      <c r="K46" t="s">
        <v>311</v>
      </c>
      <c r="L46" t="s">
        <v>315</v>
      </c>
    </row>
    <row r="47" spans="1:12" x14ac:dyDescent="0.25">
      <c r="A47" t="s">
        <v>51</v>
      </c>
      <c r="B47" t="s">
        <v>320</v>
      </c>
      <c r="C47" t="s">
        <v>339</v>
      </c>
      <c r="D47" t="s">
        <v>288</v>
      </c>
      <c r="E47" t="s">
        <v>298</v>
      </c>
      <c r="F47" t="s">
        <v>302</v>
      </c>
      <c r="G47" t="s">
        <v>310</v>
      </c>
      <c r="H47">
        <v>11</v>
      </c>
      <c r="I47">
        <v>893</v>
      </c>
      <c r="J47" s="2">
        <v>9823</v>
      </c>
      <c r="K47" t="s">
        <v>311</v>
      </c>
      <c r="L47" t="s">
        <v>316</v>
      </c>
    </row>
    <row r="48" spans="1:12" x14ac:dyDescent="0.25">
      <c r="A48" t="s">
        <v>13</v>
      </c>
      <c r="B48" t="s">
        <v>320</v>
      </c>
      <c r="C48" t="s">
        <v>339</v>
      </c>
      <c r="D48" t="s">
        <v>289</v>
      </c>
      <c r="E48" t="s">
        <v>293</v>
      </c>
      <c r="F48" t="s">
        <v>300</v>
      </c>
      <c r="G48" t="s">
        <v>308</v>
      </c>
      <c r="H48">
        <v>16</v>
      </c>
      <c r="I48">
        <v>505</v>
      </c>
      <c r="J48" s="2">
        <v>8080</v>
      </c>
      <c r="K48" t="s">
        <v>311</v>
      </c>
      <c r="L48" t="s">
        <v>316</v>
      </c>
    </row>
    <row r="49" spans="1:12" x14ac:dyDescent="0.25">
      <c r="A49" t="s">
        <v>52</v>
      </c>
      <c r="B49" t="s">
        <v>328</v>
      </c>
      <c r="C49" t="s">
        <v>346</v>
      </c>
      <c r="D49" t="s">
        <v>290</v>
      </c>
      <c r="E49" t="s">
        <v>297</v>
      </c>
      <c r="F49" t="s">
        <v>303</v>
      </c>
      <c r="G49" t="s">
        <v>309</v>
      </c>
      <c r="H49">
        <v>1</v>
      </c>
      <c r="I49">
        <v>1401</v>
      </c>
      <c r="J49" s="2">
        <v>1401</v>
      </c>
      <c r="K49" t="s">
        <v>311</v>
      </c>
      <c r="L49" t="s">
        <v>316</v>
      </c>
    </row>
    <row r="50" spans="1:12" x14ac:dyDescent="0.25">
      <c r="A50" t="s">
        <v>53</v>
      </c>
      <c r="B50" t="s">
        <v>328</v>
      </c>
      <c r="C50" t="s">
        <v>346</v>
      </c>
      <c r="D50" t="s">
        <v>288</v>
      </c>
      <c r="E50" t="s">
        <v>292</v>
      </c>
      <c r="F50" t="s">
        <v>303</v>
      </c>
      <c r="G50" t="s">
        <v>309</v>
      </c>
      <c r="H50">
        <v>12</v>
      </c>
      <c r="I50">
        <v>1363</v>
      </c>
      <c r="J50" s="2">
        <v>16356</v>
      </c>
      <c r="K50" t="s">
        <v>314</v>
      </c>
      <c r="L50" t="s">
        <v>316</v>
      </c>
    </row>
    <row r="51" spans="1:12" x14ac:dyDescent="0.25">
      <c r="A51" t="s">
        <v>54</v>
      </c>
      <c r="B51" t="s">
        <v>325</v>
      </c>
      <c r="C51" t="s">
        <v>344</v>
      </c>
      <c r="D51" t="s">
        <v>291</v>
      </c>
      <c r="E51" t="s">
        <v>298</v>
      </c>
      <c r="F51" t="s">
        <v>300</v>
      </c>
      <c r="G51" t="s">
        <v>308</v>
      </c>
      <c r="H51">
        <v>19</v>
      </c>
      <c r="I51">
        <v>593</v>
      </c>
      <c r="J51" s="2">
        <v>11267</v>
      </c>
      <c r="K51" t="s">
        <v>313</v>
      </c>
      <c r="L51" t="s">
        <v>315</v>
      </c>
    </row>
    <row r="52" spans="1:12" x14ac:dyDescent="0.25">
      <c r="A52" t="s">
        <v>55</v>
      </c>
      <c r="B52" t="s">
        <v>317</v>
      </c>
      <c r="C52" t="s">
        <v>336</v>
      </c>
      <c r="D52" t="s">
        <v>291</v>
      </c>
      <c r="E52" t="s">
        <v>295</v>
      </c>
      <c r="F52" t="s">
        <v>302</v>
      </c>
      <c r="G52" t="s">
        <v>310</v>
      </c>
      <c r="H52">
        <v>14</v>
      </c>
      <c r="I52">
        <v>1291</v>
      </c>
      <c r="J52" s="2">
        <v>18074</v>
      </c>
      <c r="K52" t="s">
        <v>313</v>
      </c>
      <c r="L52" t="s">
        <v>316</v>
      </c>
    </row>
    <row r="53" spans="1:12" x14ac:dyDescent="0.25">
      <c r="A53" t="s">
        <v>56</v>
      </c>
      <c r="B53" t="s">
        <v>324</v>
      </c>
      <c r="C53" t="s">
        <v>343</v>
      </c>
      <c r="D53" t="s">
        <v>291</v>
      </c>
      <c r="E53" t="s">
        <v>293</v>
      </c>
      <c r="F53" t="s">
        <v>306</v>
      </c>
      <c r="G53" t="s">
        <v>309</v>
      </c>
      <c r="H53">
        <v>14</v>
      </c>
      <c r="I53">
        <v>53</v>
      </c>
      <c r="J53" s="2">
        <v>742</v>
      </c>
      <c r="K53" t="s">
        <v>311</v>
      </c>
      <c r="L53" t="s">
        <v>316</v>
      </c>
    </row>
    <row r="54" spans="1:12" x14ac:dyDescent="0.25">
      <c r="A54" t="s">
        <v>57</v>
      </c>
      <c r="B54" t="s">
        <v>322</v>
      </c>
      <c r="C54" t="s">
        <v>341</v>
      </c>
      <c r="D54" t="s">
        <v>291</v>
      </c>
      <c r="E54" t="s">
        <v>295</v>
      </c>
      <c r="F54" t="s">
        <v>300</v>
      </c>
      <c r="G54" t="s">
        <v>308</v>
      </c>
      <c r="H54">
        <v>4</v>
      </c>
      <c r="I54">
        <v>665</v>
      </c>
      <c r="J54" s="2">
        <v>2660</v>
      </c>
      <c r="K54" t="s">
        <v>312</v>
      </c>
      <c r="L54" t="s">
        <v>316</v>
      </c>
    </row>
    <row r="55" spans="1:12" x14ac:dyDescent="0.25">
      <c r="A55" t="s">
        <v>58</v>
      </c>
      <c r="B55" t="s">
        <v>328</v>
      </c>
      <c r="C55" t="s">
        <v>346</v>
      </c>
      <c r="D55" t="s">
        <v>291</v>
      </c>
      <c r="E55" t="s">
        <v>298</v>
      </c>
      <c r="F55" t="s">
        <v>302</v>
      </c>
      <c r="G55" t="s">
        <v>310</v>
      </c>
      <c r="H55">
        <v>7</v>
      </c>
      <c r="I55">
        <v>911</v>
      </c>
      <c r="J55" s="2">
        <v>6377</v>
      </c>
      <c r="K55" t="s">
        <v>314</v>
      </c>
      <c r="L55" t="s">
        <v>315</v>
      </c>
    </row>
    <row r="56" spans="1:12" x14ac:dyDescent="0.25">
      <c r="A56" t="s">
        <v>59</v>
      </c>
      <c r="B56" t="s">
        <v>317</v>
      </c>
      <c r="C56" t="s">
        <v>336</v>
      </c>
      <c r="D56" t="s">
        <v>289</v>
      </c>
      <c r="E56" t="s">
        <v>293</v>
      </c>
      <c r="F56" t="s">
        <v>303</v>
      </c>
      <c r="G56" t="s">
        <v>309</v>
      </c>
      <c r="H56">
        <v>10</v>
      </c>
      <c r="I56">
        <v>637</v>
      </c>
      <c r="J56" s="2">
        <v>6370</v>
      </c>
      <c r="K56" t="s">
        <v>311</v>
      </c>
      <c r="L56" t="s">
        <v>316</v>
      </c>
    </row>
    <row r="57" spans="1:12" x14ac:dyDescent="0.25">
      <c r="A57" t="s">
        <v>60</v>
      </c>
      <c r="B57" t="s">
        <v>324</v>
      </c>
      <c r="C57" t="s">
        <v>343</v>
      </c>
      <c r="D57" t="s">
        <v>289</v>
      </c>
      <c r="E57" t="s">
        <v>299</v>
      </c>
      <c r="F57" t="s">
        <v>305</v>
      </c>
      <c r="G57" t="s">
        <v>310</v>
      </c>
      <c r="H57">
        <v>15</v>
      </c>
      <c r="I57">
        <v>1433</v>
      </c>
      <c r="J57" s="2">
        <v>21495</v>
      </c>
      <c r="K57" t="s">
        <v>311</v>
      </c>
      <c r="L57" t="s">
        <v>316</v>
      </c>
    </row>
    <row r="58" spans="1:12" x14ac:dyDescent="0.25">
      <c r="A58" t="s">
        <v>61</v>
      </c>
      <c r="B58" t="s">
        <v>320</v>
      </c>
      <c r="C58" t="s">
        <v>339</v>
      </c>
      <c r="D58" t="s">
        <v>291</v>
      </c>
      <c r="E58" t="s">
        <v>295</v>
      </c>
      <c r="F58" t="s">
        <v>300</v>
      </c>
      <c r="G58" t="s">
        <v>308</v>
      </c>
      <c r="H58">
        <v>3</v>
      </c>
      <c r="I58">
        <v>531</v>
      </c>
      <c r="J58" s="2">
        <v>1593</v>
      </c>
      <c r="K58" t="s">
        <v>312</v>
      </c>
      <c r="L58" t="s">
        <v>315</v>
      </c>
    </row>
    <row r="59" spans="1:12" x14ac:dyDescent="0.25">
      <c r="A59" t="s">
        <v>62</v>
      </c>
      <c r="B59" t="s">
        <v>327</v>
      </c>
      <c r="C59" t="s">
        <v>345</v>
      </c>
      <c r="D59" t="s">
        <v>288</v>
      </c>
      <c r="E59" t="s">
        <v>293</v>
      </c>
      <c r="F59" t="s">
        <v>307</v>
      </c>
      <c r="G59" t="s">
        <v>309</v>
      </c>
      <c r="H59">
        <v>8</v>
      </c>
      <c r="I59">
        <v>1023</v>
      </c>
      <c r="J59" s="2">
        <v>8184</v>
      </c>
      <c r="K59" t="s">
        <v>313</v>
      </c>
      <c r="L59" t="s">
        <v>316</v>
      </c>
    </row>
    <row r="60" spans="1:12" x14ac:dyDescent="0.25">
      <c r="A60" t="s">
        <v>63</v>
      </c>
      <c r="B60" t="s">
        <v>323</v>
      </c>
      <c r="C60" t="s">
        <v>342</v>
      </c>
      <c r="D60" t="s">
        <v>289</v>
      </c>
      <c r="E60" t="s">
        <v>299</v>
      </c>
      <c r="F60" t="s">
        <v>306</v>
      </c>
      <c r="G60" t="s">
        <v>309</v>
      </c>
      <c r="H60">
        <v>13</v>
      </c>
      <c r="I60">
        <v>549</v>
      </c>
      <c r="J60" s="2">
        <v>7137</v>
      </c>
      <c r="K60" t="s">
        <v>311</v>
      </c>
      <c r="L60" t="s">
        <v>315</v>
      </c>
    </row>
    <row r="61" spans="1:12" x14ac:dyDescent="0.25">
      <c r="A61" t="s">
        <v>64</v>
      </c>
      <c r="B61" t="s">
        <v>321</v>
      </c>
      <c r="C61" t="s">
        <v>340</v>
      </c>
      <c r="D61" t="s">
        <v>290</v>
      </c>
      <c r="E61" t="s">
        <v>298</v>
      </c>
      <c r="F61" t="s">
        <v>302</v>
      </c>
      <c r="G61" t="s">
        <v>310</v>
      </c>
      <c r="H61">
        <v>17</v>
      </c>
      <c r="I61">
        <v>1001</v>
      </c>
      <c r="J61" s="2">
        <v>17017</v>
      </c>
      <c r="K61" t="s">
        <v>313</v>
      </c>
      <c r="L61" t="s">
        <v>315</v>
      </c>
    </row>
    <row r="62" spans="1:12" x14ac:dyDescent="0.25">
      <c r="A62" t="s">
        <v>65</v>
      </c>
      <c r="B62" t="s">
        <v>320</v>
      </c>
      <c r="C62" t="s">
        <v>339</v>
      </c>
      <c r="D62" t="s">
        <v>290</v>
      </c>
      <c r="E62" t="s">
        <v>299</v>
      </c>
      <c r="F62" t="s">
        <v>304</v>
      </c>
      <c r="G62" t="s">
        <v>310</v>
      </c>
      <c r="H62">
        <v>17</v>
      </c>
      <c r="I62">
        <v>1194</v>
      </c>
      <c r="J62" s="2">
        <v>20298</v>
      </c>
      <c r="K62" t="s">
        <v>312</v>
      </c>
      <c r="L62" t="s">
        <v>316</v>
      </c>
    </row>
    <row r="63" spans="1:12" x14ac:dyDescent="0.25">
      <c r="A63" t="s">
        <v>66</v>
      </c>
      <c r="B63" t="s">
        <v>317</v>
      </c>
      <c r="C63" t="s">
        <v>336</v>
      </c>
      <c r="D63" t="s">
        <v>289</v>
      </c>
      <c r="E63" t="s">
        <v>298</v>
      </c>
      <c r="F63" t="s">
        <v>302</v>
      </c>
      <c r="G63" t="s">
        <v>310</v>
      </c>
      <c r="H63">
        <v>16</v>
      </c>
      <c r="I63">
        <v>971</v>
      </c>
      <c r="J63" s="2">
        <v>15536</v>
      </c>
      <c r="K63" t="s">
        <v>312</v>
      </c>
      <c r="L63" t="s">
        <v>315</v>
      </c>
    </row>
    <row r="64" spans="1:12" x14ac:dyDescent="0.25">
      <c r="A64" t="s">
        <v>48</v>
      </c>
      <c r="B64" t="s">
        <v>317</v>
      </c>
      <c r="C64" t="s">
        <v>336</v>
      </c>
      <c r="D64" t="s">
        <v>289</v>
      </c>
      <c r="E64" t="s">
        <v>297</v>
      </c>
      <c r="F64" t="s">
        <v>303</v>
      </c>
      <c r="G64" t="s">
        <v>309</v>
      </c>
      <c r="H64">
        <v>9</v>
      </c>
      <c r="I64">
        <v>950</v>
      </c>
      <c r="J64" s="2">
        <v>8550</v>
      </c>
      <c r="K64" t="s">
        <v>313</v>
      </c>
      <c r="L64" t="s">
        <v>316</v>
      </c>
    </row>
    <row r="65" spans="1:12" x14ac:dyDescent="0.25">
      <c r="A65" t="s">
        <v>67</v>
      </c>
      <c r="B65" t="s">
        <v>327</v>
      </c>
      <c r="C65" t="s">
        <v>345</v>
      </c>
      <c r="D65" t="s">
        <v>291</v>
      </c>
      <c r="E65" t="s">
        <v>295</v>
      </c>
      <c r="F65" t="s">
        <v>303</v>
      </c>
      <c r="G65" t="s">
        <v>309</v>
      </c>
      <c r="H65">
        <v>18</v>
      </c>
      <c r="I65">
        <v>215</v>
      </c>
      <c r="J65" s="2">
        <v>3870</v>
      </c>
      <c r="K65" t="s">
        <v>311</v>
      </c>
      <c r="L65" t="s">
        <v>315</v>
      </c>
    </row>
    <row r="66" spans="1:12" x14ac:dyDescent="0.25">
      <c r="A66" t="s">
        <v>68</v>
      </c>
      <c r="B66" t="s">
        <v>327</v>
      </c>
      <c r="C66" t="s">
        <v>345</v>
      </c>
      <c r="D66" t="s">
        <v>290</v>
      </c>
      <c r="E66" t="s">
        <v>297</v>
      </c>
      <c r="F66" t="s">
        <v>302</v>
      </c>
      <c r="G66" t="s">
        <v>310</v>
      </c>
      <c r="H66">
        <v>3</v>
      </c>
      <c r="I66">
        <v>899</v>
      </c>
      <c r="J66" s="2">
        <v>2697</v>
      </c>
      <c r="K66" t="s">
        <v>314</v>
      </c>
      <c r="L66" t="s">
        <v>316</v>
      </c>
    </row>
    <row r="67" spans="1:12" x14ac:dyDescent="0.25">
      <c r="A67" t="s">
        <v>69</v>
      </c>
      <c r="B67" t="s">
        <v>324</v>
      </c>
      <c r="C67" t="s">
        <v>343</v>
      </c>
      <c r="D67" t="s">
        <v>289</v>
      </c>
      <c r="E67" t="s">
        <v>293</v>
      </c>
      <c r="F67" t="s">
        <v>304</v>
      </c>
      <c r="G67" t="s">
        <v>310</v>
      </c>
      <c r="H67">
        <v>7</v>
      </c>
      <c r="I67">
        <v>910</v>
      </c>
      <c r="J67" s="2">
        <v>6370</v>
      </c>
      <c r="K67" t="s">
        <v>314</v>
      </c>
      <c r="L67" t="s">
        <v>315</v>
      </c>
    </row>
    <row r="68" spans="1:12" x14ac:dyDescent="0.25">
      <c r="A68" t="s">
        <v>70</v>
      </c>
      <c r="B68" t="s">
        <v>324</v>
      </c>
      <c r="C68" t="s">
        <v>343</v>
      </c>
      <c r="D68" t="s">
        <v>289</v>
      </c>
      <c r="E68" t="s">
        <v>293</v>
      </c>
      <c r="F68" t="s">
        <v>302</v>
      </c>
      <c r="G68" t="s">
        <v>310</v>
      </c>
      <c r="H68">
        <v>12</v>
      </c>
      <c r="I68">
        <v>661</v>
      </c>
      <c r="J68" s="2">
        <v>7932</v>
      </c>
      <c r="K68" t="s">
        <v>314</v>
      </c>
      <c r="L68" t="s">
        <v>316</v>
      </c>
    </row>
    <row r="69" spans="1:12" x14ac:dyDescent="0.25">
      <c r="A69" t="s">
        <v>43</v>
      </c>
      <c r="B69" t="s">
        <v>324</v>
      </c>
      <c r="C69" t="s">
        <v>343</v>
      </c>
      <c r="D69" t="s">
        <v>289</v>
      </c>
      <c r="E69" t="s">
        <v>297</v>
      </c>
      <c r="F69" t="s">
        <v>306</v>
      </c>
      <c r="G69" t="s">
        <v>309</v>
      </c>
      <c r="H69">
        <v>9</v>
      </c>
      <c r="I69">
        <v>942</v>
      </c>
      <c r="J69" s="2">
        <v>8478</v>
      </c>
      <c r="K69" t="s">
        <v>314</v>
      </c>
      <c r="L69" t="s">
        <v>315</v>
      </c>
    </row>
    <row r="70" spans="1:12" x14ac:dyDescent="0.25">
      <c r="A70" t="s">
        <v>71</v>
      </c>
      <c r="B70" t="s">
        <v>323</v>
      </c>
      <c r="C70" t="s">
        <v>342</v>
      </c>
      <c r="D70" t="s">
        <v>289</v>
      </c>
      <c r="E70" t="s">
        <v>298</v>
      </c>
      <c r="F70" t="s">
        <v>305</v>
      </c>
      <c r="G70" t="s">
        <v>310</v>
      </c>
      <c r="H70">
        <v>15</v>
      </c>
      <c r="I70">
        <v>311</v>
      </c>
      <c r="J70" s="2">
        <v>4665</v>
      </c>
      <c r="K70" t="s">
        <v>313</v>
      </c>
      <c r="L70" t="s">
        <v>316</v>
      </c>
    </row>
    <row r="71" spans="1:12" x14ac:dyDescent="0.25">
      <c r="A71" t="s">
        <v>72</v>
      </c>
      <c r="B71" t="s">
        <v>324</v>
      </c>
      <c r="C71" t="s">
        <v>343</v>
      </c>
      <c r="D71" t="s">
        <v>288</v>
      </c>
      <c r="E71" t="s">
        <v>294</v>
      </c>
      <c r="F71" t="s">
        <v>301</v>
      </c>
      <c r="G71" t="s">
        <v>309</v>
      </c>
      <c r="H71">
        <v>5</v>
      </c>
      <c r="I71">
        <v>995</v>
      </c>
      <c r="J71" s="2">
        <v>4975</v>
      </c>
      <c r="K71" t="s">
        <v>311</v>
      </c>
      <c r="L71" t="s">
        <v>315</v>
      </c>
    </row>
    <row r="72" spans="1:12" x14ac:dyDescent="0.25">
      <c r="A72" t="s">
        <v>73</v>
      </c>
      <c r="B72" t="s">
        <v>326</v>
      </c>
      <c r="C72" t="s">
        <v>326</v>
      </c>
      <c r="D72" t="s">
        <v>291</v>
      </c>
      <c r="E72" t="s">
        <v>297</v>
      </c>
      <c r="F72" t="s">
        <v>302</v>
      </c>
      <c r="G72" t="s">
        <v>310</v>
      </c>
      <c r="H72">
        <v>15</v>
      </c>
      <c r="I72">
        <v>719</v>
      </c>
      <c r="J72" s="2">
        <v>10785</v>
      </c>
      <c r="K72" t="s">
        <v>312</v>
      </c>
      <c r="L72" t="s">
        <v>316</v>
      </c>
    </row>
    <row r="73" spans="1:12" x14ac:dyDescent="0.25">
      <c r="A73" t="s">
        <v>74</v>
      </c>
      <c r="B73" t="s">
        <v>326</v>
      </c>
      <c r="C73" t="s">
        <v>326</v>
      </c>
      <c r="D73" t="s">
        <v>291</v>
      </c>
      <c r="E73" t="s">
        <v>296</v>
      </c>
      <c r="F73" t="s">
        <v>302</v>
      </c>
      <c r="G73" t="s">
        <v>310</v>
      </c>
      <c r="H73">
        <v>16</v>
      </c>
      <c r="I73">
        <v>89</v>
      </c>
      <c r="J73" s="2">
        <v>1424</v>
      </c>
      <c r="K73" t="s">
        <v>313</v>
      </c>
      <c r="L73" t="s">
        <v>316</v>
      </c>
    </row>
    <row r="74" spans="1:12" x14ac:dyDescent="0.25">
      <c r="A74" t="s">
        <v>75</v>
      </c>
      <c r="B74" t="s">
        <v>327</v>
      </c>
      <c r="C74" t="s">
        <v>345</v>
      </c>
      <c r="D74" t="s">
        <v>288</v>
      </c>
      <c r="E74" t="s">
        <v>293</v>
      </c>
      <c r="F74" t="s">
        <v>300</v>
      </c>
      <c r="G74" t="s">
        <v>308</v>
      </c>
      <c r="H74">
        <v>8</v>
      </c>
      <c r="I74">
        <v>458</v>
      </c>
      <c r="J74" s="2">
        <v>3664</v>
      </c>
      <c r="K74" t="s">
        <v>313</v>
      </c>
      <c r="L74" t="s">
        <v>315</v>
      </c>
    </row>
    <row r="75" spans="1:12" x14ac:dyDescent="0.25">
      <c r="A75" t="s">
        <v>76</v>
      </c>
      <c r="B75" t="s">
        <v>326</v>
      </c>
      <c r="C75" t="s">
        <v>326</v>
      </c>
      <c r="D75" t="s">
        <v>289</v>
      </c>
      <c r="E75" t="s">
        <v>296</v>
      </c>
      <c r="F75" t="s">
        <v>307</v>
      </c>
      <c r="G75" t="s">
        <v>309</v>
      </c>
      <c r="H75">
        <v>19</v>
      </c>
      <c r="I75">
        <v>496</v>
      </c>
      <c r="J75" s="2">
        <v>9424</v>
      </c>
      <c r="K75" t="s">
        <v>314</v>
      </c>
      <c r="L75" t="s">
        <v>316</v>
      </c>
    </row>
    <row r="76" spans="1:12" x14ac:dyDescent="0.25">
      <c r="A76" t="s">
        <v>77</v>
      </c>
      <c r="B76" t="s">
        <v>323</v>
      </c>
      <c r="C76" t="s">
        <v>342</v>
      </c>
      <c r="D76" t="s">
        <v>288</v>
      </c>
      <c r="E76" t="s">
        <v>298</v>
      </c>
      <c r="F76" t="s">
        <v>307</v>
      </c>
      <c r="G76" t="s">
        <v>309</v>
      </c>
      <c r="H76">
        <v>10</v>
      </c>
      <c r="I76">
        <v>271</v>
      </c>
      <c r="J76" s="2">
        <v>2710</v>
      </c>
      <c r="K76" t="s">
        <v>313</v>
      </c>
      <c r="L76" t="s">
        <v>316</v>
      </c>
    </row>
    <row r="77" spans="1:12" x14ac:dyDescent="0.25">
      <c r="A77" t="s">
        <v>70</v>
      </c>
      <c r="B77" t="s">
        <v>324</v>
      </c>
      <c r="C77" t="s">
        <v>343</v>
      </c>
      <c r="D77" t="s">
        <v>289</v>
      </c>
      <c r="E77" t="s">
        <v>297</v>
      </c>
      <c r="F77" t="s">
        <v>302</v>
      </c>
      <c r="G77" t="s">
        <v>310</v>
      </c>
      <c r="H77">
        <v>3</v>
      </c>
      <c r="I77">
        <v>1262</v>
      </c>
      <c r="J77" s="2">
        <v>3786</v>
      </c>
      <c r="K77" t="s">
        <v>311</v>
      </c>
      <c r="L77" t="s">
        <v>315</v>
      </c>
    </row>
    <row r="78" spans="1:12" x14ac:dyDescent="0.25">
      <c r="A78" t="s">
        <v>78</v>
      </c>
      <c r="B78" t="s">
        <v>318</v>
      </c>
      <c r="C78" t="s">
        <v>337</v>
      </c>
      <c r="D78" t="s">
        <v>288</v>
      </c>
      <c r="E78" t="s">
        <v>293</v>
      </c>
      <c r="F78" t="s">
        <v>303</v>
      </c>
      <c r="G78" t="s">
        <v>309</v>
      </c>
      <c r="H78">
        <v>12</v>
      </c>
      <c r="I78">
        <v>1141</v>
      </c>
      <c r="J78" s="2">
        <v>13692</v>
      </c>
      <c r="K78" t="s">
        <v>314</v>
      </c>
      <c r="L78" t="s">
        <v>316</v>
      </c>
    </row>
    <row r="79" spans="1:12" x14ac:dyDescent="0.25">
      <c r="A79" t="s">
        <v>79</v>
      </c>
      <c r="B79" t="s">
        <v>321</v>
      </c>
      <c r="C79" t="s">
        <v>340</v>
      </c>
      <c r="D79" t="s">
        <v>288</v>
      </c>
      <c r="E79" t="s">
        <v>294</v>
      </c>
      <c r="F79" t="s">
        <v>305</v>
      </c>
      <c r="G79" t="s">
        <v>310</v>
      </c>
      <c r="H79">
        <v>16</v>
      </c>
      <c r="I79">
        <v>266</v>
      </c>
      <c r="J79" s="2">
        <v>4256</v>
      </c>
      <c r="K79" t="s">
        <v>314</v>
      </c>
      <c r="L79" t="s">
        <v>316</v>
      </c>
    </row>
    <row r="80" spans="1:12" x14ac:dyDescent="0.25">
      <c r="A80" t="s">
        <v>80</v>
      </c>
      <c r="B80" t="s">
        <v>317</v>
      </c>
      <c r="C80" t="s">
        <v>336</v>
      </c>
      <c r="D80" t="s">
        <v>290</v>
      </c>
      <c r="E80" t="s">
        <v>294</v>
      </c>
      <c r="F80" t="s">
        <v>304</v>
      </c>
      <c r="G80" t="s">
        <v>310</v>
      </c>
      <c r="H80">
        <v>6</v>
      </c>
      <c r="I80">
        <v>1118</v>
      </c>
      <c r="J80" s="2">
        <v>6708</v>
      </c>
      <c r="K80" t="s">
        <v>312</v>
      </c>
      <c r="L80" t="s">
        <v>316</v>
      </c>
    </row>
    <row r="81" spans="1:12" x14ac:dyDescent="0.25">
      <c r="A81" t="s">
        <v>81</v>
      </c>
      <c r="B81" t="s">
        <v>322</v>
      </c>
      <c r="C81" t="s">
        <v>341</v>
      </c>
      <c r="D81" t="s">
        <v>291</v>
      </c>
      <c r="E81" t="s">
        <v>295</v>
      </c>
      <c r="F81" t="s">
        <v>302</v>
      </c>
      <c r="G81" t="s">
        <v>310</v>
      </c>
      <c r="H81">
        <v>8</v>
      </c>
      <c r="I81">
        <v>227</v>
      </c>
      <c r="J81" s="2">
        <v>1816</v>
      </c>
      <c r="K81" t="s">
        <v>312</v>
      </c>
      <c r="L81" t="s">
        <v>316</v>
      </c>
    </row>
    <row r="82" spans="1:12" x14ac:dyDescent="0.25">
      <c r="A82" t="s">
        <v>33</v>
      </c>
      <c r="B82" t="s">
        <v>326</v>
      </c>
      <c r="C82" t="s">
        <v>326</v>
      </c>
      <c r="D82" t="s">
        <v>289</v>
      </c>
      <c r="E82" t="s">
        <v>295</v>
      </c>
      <c r="F82" t="s">
        <v>304</v>
      </c>
      <c r="G82" t="s">
        <v>310</v>
      </c>
      <c r="H82">
        <v>1</v>
      </c>
      <c r="I82">
        <v>1062</v>
      </c>
      <c r="J82" s="2">
        <v>1062</v>
      </c>
      <c r="K82" t="s">
        <v>312</v>
      </c>
      <c r="L82" t="s">
        <v>315</v>
      </c>
    </row>
    <row r="83" spans="1:12" x14ac:dyDescent="0.25">
      <c r="A83" t="s">
        <v>82</v>
      </c>
      <c r="B83" t="s">
        <v>319</v>
      </c>
      <c r="C83" t="s">
        <v>338</v>
      </c>
      <c r="D83" t="s">
        <v>291</v>
      </c>
      <c r="E83" t="s">
        <v>292</v>
      </c>
      <c r="F83" t="s">
        <v>306</v>
      </c>
      <c r="G83" t="s">
        <v>309</v>
      </c>
      <c r="H83">
        <v>11</v>
      </c>
      <c r="I83">
        <v>622</v>
      </c>
      <c r="J83" s="2">
        <v>6842</v>
      </c>
      <c r="K83" t="s">
        <v>312</v>
      </c>
      <c r="L83" t="s">
        <v>315</v>
      </c>
    </row>
    <row r="84" spans="1:12" x14ac:dyDescent="0.25">
      <c r="A84" t="s">
        <v>83</v>
      </c>
      <c r="B84" t="s">
        <v>319</v>
      </c>
      <c r="C84" t="s">
        <v>338</v>
      </c>
      <c r="D84" t="s">
        <v>288</v>
      </c>
      <c r="E84" t="s">
        <v>297</v>
      </c>
      <c r="F84" t="s">
        <v>306</v>
      </c>
      <c r="G84" t="s">
        <v>309</v>
      </c>
      <c r="H84">
        <v>14</v>
      </c>
      <c r="I84">
        <v>1050</v>
      </c>
      <c r="J84" s="2">
        <v>14700</v>
      </c>
      <c r="K84" t="s">
        <v>311</v>
      </c>
      <c r="L84" t="s">
        <v>316</v>
      </c>
    </row>
    <row r="85" spans="1:12" x14ac:dyDescent="0.25">
      <c r="A85" t="s">
        <v>84</v>
      </c>
      <c r="B85" t="s">
        <v>317</v>
      </c>
      <c r="C85" t="s">
        <v>336</v>
      </c>
      <c r="D85" t="s">
        <v>289</v>
      </c>
      <c r="E85" t="s">
        <v>293</v>
      </c>
      <c r="F85" t="s">
        <v>304</v>
      </c>
      <c r="G85" t="s">
        <v>310</v>
      </c>
      <c r="H85">
        <v>3</v>
      </c>
      <c r="I85">
        <v>652</v>
      </c>
      <c r="J85" s="2">
        <v>1956</v>
      </c>
      <c r="K85" t="s">
        <v>311</v>
      </c>
      <c r="L85" t="s">
        <v>316</v>
      </c>
    </row>
    <row r="86" spans="1:12" x14ac:dyDescent="0.25">
      <c r="A86" t="s">
        <v>85</v>
      </c>
      <c r="B86" t="s">
        <v>318</v>
      </c>
      <c r="C86" t="s">
        <v>337</v>
      </c>
      <c r="D86" t="s">
        <v>291</v>
      </c>
      <c r="E86" t="s">
        <v>295</v>
      </c>
      <c r="F86" t="s">
        <v>306</v>
      </c>
      <c r="G86" t="s">
        <v>309</v>
      </c>
      <c r="H86">
        <v>16</v>
      </c>
      <c r="I86">
        <v>1183</v>
      </c>
      <c r="J86" s="2">
        <v>18928</v>
      </c>
      <c r="K86" t="s">
        <v>312</v>
      </c>
      <c r="L86" t="s">
        <v>316</v>
      </c>
    </row>
    <row r="87" spans="1:12" x14ac:dyDescent="0.25">
      <c r="A87" t="s">
        <v>86</v>
      </c>
      <c r="B87" t="s">
        <v>324</v>
      </c>
      <c r="C87" t="s">
        <v>343</v>
      </c>
      <c r="D87" t="s">
        <v>291</v>
      </c>
      <c r="E87" t="s">
        <v>299</v>
      </c>
      <c r="F87" t="s">
        <v>305</v>
      </c>
      <c r="G87" t="s">
        <v>310</v>
      </c>
      <c r="H87">
        <v>9</v>
      </c>
      <c r="I87">
        <v>677</v>
      </c>
      <c r="J87" s="2">
        <v>6093</v>
      </c>
      <c r="K87" t="s">
        <v>312</v>
      </c>
      <c r="L87" t="s">
        <v>315</v>
      </c>
    </row>
    <row r="88" spans="1:12" x14ac:dyDescent="0.25">
      <c r="A88" t="s">
        <v>40</v>
      </c>
      <c r="B88" t="s">
        <v>320</v>
      </c>
      <c r="C88" t="s">
        <v>339</v>
      </c>
      <c r="D88" t="s">
        <v>291</v>
      </c>
      <c r="E88" t="s">
        <v>296</v>
      </c>
      <c r="F88" t="s">
        <v>306</v>
      </c>
      <c r="G88" t="s">
        <v>309</v>
      </c>
      <c r="H88">
        <v>18</v>
      </c>
      <c r="I88">
        <v>1463</v>
      </c>
      <c r="J88" s="2">
        <v>26334</v>
      </c>
      <c r="K88" t="s">
        <v>311</v>
      </c>
      <c r="L88" t="s">
        <v>315</v>
      </c>
    </row>
    <row r="89" spans="1:12" x14ac:dyDescent="0.25">
      <c r="A89" t="s">
        <v>87</v>
      </c>
      <c r="B89" t="s">
        <v>327</v>
      </c>
      <c r="C89" t="s">
        <v>345</v>
      </c>
      <c r="D89" t="s">
        <v>291</v>
      </c>
      <c r="E89" t="s">
        <v>292</v>
      </c>
      <c r="F89" t="s">
        <v>304</v>
      </c>
      <c r="G89" t="s">
        <v>310</v>
      </c>
      <c r="H89">
        <v>4</v>
      </c>
      <c r="I89">
        <v>447</v>
      </c>
      <c r="J89" s="2">
        <v>1788</v>
      </c>
      <c r="K89" t="s">
        <v>312</v>
      </c>
      <c r="L89" t="s">
        <v>315</v>
      </c>
    </row>
    <row r="90" spans="1:12" x14ac:dyDescent="0.25">
      <c r="A90" t="s">
        <v>88</v>
      </c>
      <c r="B90" t="s">
        <v>323</v>
      </c>
      <c r="C90" t="s">
        <v>342</v>
      </c>
      <c r="D90" t="s">
        <v>291</v>
      </c>
      <c r="E90" t="s">
        <v>293</v>
      </c>
      <c r="F90" t="s">
        <v>307</v>
      </c>
      <c r="G90" t="s">
        <v>309</v>
      </c>
      <c r="H90">
        <v>18</v>
      </c>
      <c r="I90">
        <v>309</v>
      </c>
      <c r="J90" s="2">
        <v>5562</v>
      </c>
      <c r="K90" t="s">
        <v>312</v>
      </c>
      <c r="L90" t="s">
        <v>315</v>
      </c>
    </row>
    <row r="91" spans="1:12" x14ac:dyDescent="0.25">
      <c r="A91" t="s">
        <v>89</v>
      </c>
      <c r="B91" t="s">
        <v>325</v>
      </c>
      <c r="C91" t="s">
        <v>344</v>
      </c>
      <c r="D91" t="s">
        <v>290</v>
      </c>
      <c r="E91" t="s">
        <v>299</v>
      </c>
      <c r="F91" t="s">
        <v>303</v>
      </c>
      <c r="G91" t="s">
        <v>309</v>
      </c>
      <c r="H91">
        <v>4</v>
      </c>
      <c r="I91">
        <v>75</v>
      </c>
      <c r="J91" s="2">
        <v>300</v>
      </c>
      <c r="K91" t="s">
        <v>312</v>
      </c>
      <c r="L91" t="s">
        <v>316</v>
      </c>
    </row>
    <row r="92" spans="1:12" x14ac:dyDescent="0.25">
      <c r="A92" t="s">
        <v>90</v>
      </c>
      <c r="B92" t="s">
        <v>319</v>
      </c>
      <c r="C92" t="s">
        <v>338</v>
      </c>
      <c r="D92" t="s">
        <v>291</v>
      </c>
      <c r="E92" t="s">
        <v>298</v>
      </c>
      <c r="F92" t="s">
        <v>304</v>
      </c>
      <c r="G92" t="s">
        <v>310</v>
      </c>
      <c r="H92">
        <v>2</v>
      </c>
      <c r="I92">
        <v>567</v>
      </c>
      <c r="J92" s="2">
        <v>1134</v>
      </c>
      <c r="K92" t="s">
        <v>314</v>
      </c>
      <c r="L92" t="s">
        <v>315</v>
      </c>
    </row>
    <row r="93" spans="1:12" x14ac:dyDescent="0.25">
      <c r="A93" t="s">
        <v>91</v>
      </c>
      <c r="B93" t="s">
        <v>321</v>
      </c>
      <c r="C93" t="s">
        <v>340</v>
      </c>
      <c r="D93" t="s">
        <v>289</v>
      </c>
      <c r="E93" t="s">
        <v>296</v>
      </c>
      <c r="F93" t="s">
        <v>302</v>
      </c>
      <c r="G93" t="s">
        <v>310</v>
      </c>
      <c r="H93">
        <v>19</v>
      </c>
      <c r="I93">
        <v>1339</v>
      </c>
      <c r="J93" s="2">
        <v>25441</v>
      </c>
      <c r="K93" t="s">
        <v>313</v>
      </c>
      <c r="L93" t="s">
        <v>315</v>
      </c>
    </row>
    <row r="94" spans="1:12" x14ac:dyDescent="0.25">
      <c r="A94" t="s">
        <v>92</v>
      </c>
      <c r="B94" t="s">
        <v>320</v>
      </c>
      <c r="C94" t="s">
        <v>339</v>
      </c>
      <c r="D94" t="s">
        <v>288</v>
      </c>
      <c r="E94" t="s">
        <v>297</v>
      </c>
      <c r="F94" t="s">
        <v>303</v>
      </c>
      <c r="G94" t="s">
        <v>309</v>
      </c>
      <c r="H94">
        <v>4</v>
      </c>
      <c r="I94">
        <v>1192</v>
      </c>
      <c r="J94" s="2">
        <v>4768</v>
      </c>
      <c r="K94" t="s">
        <v>314</v>
      </c>
      <c r="L94" t="s">
        <v>315</v>
      </c>
    </row>
    <row r="95" spans="1:12" x14ac:dyDescent="0.25">
      <c r="A95" t="s">
        <v>93</v>
      </c>
      <c r="B95" t="s">
        <v>319</v>
      </c>
      <c r="C95" t="s">
        <v>338</v>
      </c>
      <c r="D95" t="s">
        <v>289</v>
      </c>
      <c r="E95" t="s">
        <v>299</v>
      </c>
      <c r="F95" t="s">
        <v>302</v>
      </c>
      <c r="G95" t="s">
        <v>310</v>
      </c>
      <c r="H95">
        <v>10</v>
      </c>
      <c r="I95">
        <v>1255</v>
      </c>
      <c r="J95" s="2">
        <v>12550</v>
      </c>
      <c r="K95" t="s">
        <v>314</v>
      </c>
      <c r="L95" t="s">
        <v>316</v>
      </c>
    </row>
    <row r="96" spans="1:12" x14ac:dyDescent="0.25">
      <c r="A96" t="s">
        <v>94</v>
      </c>
      <c r="B96" t="s">
        <v>324</v>
      </c>
      <c r="C96" t="s">
        <v>343</v>
      </c>
      <c r="D96" t="s">
        <v>288</v>
      </c>
      <c r="E96" t="s">
        <v>297</v>
      </c>
      <c r="F96" t="s">
        <v>301</v>
      </c>
      <c r="G96" t="s">
        <v>309</v>
      </c>
      <c r="H96">
        <v>7</v>
      </c>
      <c r="I96">
        <v>591</v>
      </c>
      <c r="J96" s="2">
        <v>4137</v>
      </c>
      <c r="K96" t="s">
        <v>313</v>
      </c>
      <c r="L96" t="s">
        <v>315</v>
      </c>
    </row>
    <row r="97" spans="1:12" x14ac:dyDescent="0.25">
      <c r="A97" t="s">
        <v>76</v>
      </c>
      <c r="B97" t="s">
        <v>326</v>
      </c>
      <c r="C97" t="s">
        <v>326</v>
      </c>
      <c r="D97" t="s">
        <v>288</v>
      </c>
      <c r="E97" t="s">
        <v>298</v>
      </c>
      <c r="F97" t="s">
        <v>307</v>
      </c>
      <c r="G97" t="s">
        <v>309</v>
      </c>
      <c r="H97">
        <v>1</v>
      </c>
      <c r="I97">
        <v>886</v>
      </c>
      <c r="J97" s="2">
        <v>886</v>
      </c>
      <c r="K97" t="s">
        <v>314</v>
      </c>
      <c r="L97" t="s">
        <v>316</v>
      </c>
    </row>
    <row r="98" spans="1:12" x14ac:dyDescent="0.25">
      <c r="A98" t="s">
        <v>95</v>
      </c>
      <c r="B98" t="s">
        <v>326</v>
      </c>
      <c r="C98" t="s">
        <v>326</v>
      </c>
      <c r="D98" t="s">
        <v>290</v>
      </c>
      <c r="E98" t="s">
        <v>292</v>
      </c>
      <c r="F98" t="s">
        <v>301</v>
      </c>
      <c r="G98" t="s">
        <v>309</v>
      </c>
      <c r="H98">
        <v>10</v>
      </c>
      <c r="I98">
        <v>1489</v>
      </c>
      <c r="J98" s="2">
        <v>14890</v>
      </c>
      <c r="K98" t="s">
        <v>314</v>
      </c>
      <c r="L98" t="s">
        <v>315</v>
      </c>
    </row>
    <row r="99" spans="1:12" x14ac:dyDescent="0.25">
      <c r="A99" t="s">
        <v>96</v>
      </c>
      <c r="B99" t="s">
        <v>318</v>
      </c>
      <c r="C99" t="s">
        <v>337</v>
      </c>
      <c r="D99" t="s">
        <v>291</v>
      </c>
      <c r="E99" t="s">
        <v>297</v>
      </c>
      <c r="F99" t="s">
        <v>306</v>
      </c>
      <c r="G99" t="s">
        <v>309</v>
      </c>
      <c r="H99">
        <v>14</v>
      </c>
      <c r="I99">
        <v>285</v>
      </c>
      <c r="J99" s="2">
        <v>3990</v>
      </c>
      <c r="K99" t="s">
        <v>311</v>
      </c>
      <c r="L99" t="s">
        <v>315</v>
      </c>
    </row>
    <row r="100" spans="1:12" x14ac:dyDescent="0.25">
      <c r="A100" t="s">
        <v>97</v>
      </c>
      <c r="B100" t="s">
        <v>326</v>
      </c>
      <c r="C100" t="s">
        <v>326</v>
      </c>
      <c r="D100" t="s">
        <v>288</v>
      </c>
      <c r="E100" t="s">
        <v>293</v>
      </c>
      <c r="F100" t="s">
        <v>307</v>
      </c>
      <c r="G100" t="s">
        <v>309</v>
      </c>
      <c r="H100">
        <v>6</v>
      </c>
      <c r="I100">
        <v>679</v>
      </c>
      <c r="J100" s="2">
        <v>4074</v>
      </c>
      <c r="K100" t="s">
        <v>312</v>
      </c>
      <c r="L100" t="s">
        <v>316</v>
      </c>
    </row>
    <row r="101" spans="1:12" x14ac:dyDescent="0.25">
      <c r="A101" t="s">
        <v>98</v>
      </c>
      <c r="B101" t="s">
        <v>320</v>
      </c>
      <c r="C101" t="s">
        <v>339</v>
      </c>
      <c r="D101" t="s">
        <v>291</v>
      </c>
      <c r="E101" t="s">
        <v>294</v>
      </c>
      <c r="F101" t="s">
        <v>304</v>
      </c>
      <c r="G101" t="s">
        <v>310</v>
      </c>
      <c r="H101">
        <v>9</v>
      </c>
      <c r="I101">
        <v>1074</v>
      </c>
      <c r="J101" s="2">
        <v>9666</v>
      </c>
      <c r="K101" t="s">
        <v>314</v>
      </c>
      <c r="L101" t="s">
        <v>316</v>
      </c>
    </row>
    <row r="102" spans="1:12" x14ac:dyDescent="0.25">
      <c r="A102" t="s">
        <v>99</v>
      </c>
      <c r="B102" t="s">
        <v>321</v>
      </c>
      <c r="C102" t="s">
        <v>340</v>
      </c>
      <c r="D102" t="s">
        <v>289</v>
      </c>
      <c r="E102" t="s">
        <v>295</v>
      </c>
      <c r="F102" t="s">
        <v>301</v>
      </c>
      <c r="G102" t="s">
        <v>309</v>
      </c>
      <c r="H102">
        <v>20</v>
      </c>
      <c r="I102">
        <v>562</v>
      </c>
      <c r="J102" s="2">
        <v>11240</v>
      </c>
      <c r="K102" t="s">
        <v>313</v>
      </c>
      <c r="L102" t="s">
        <v>315</v>
      </c>
    </row>
    <row r="103" spans="1:12" x14ac:dyDescent="0.25">
      <c r="A103" t="s">
        <v>100</v>
      </c>
      <c r="B103" t="s">
        <v>327</v>
      </c>
      <c r="C103" t="s">
        <v>345</v>
      </c>
      <c r="D103" t="s">
        <v>291</v>
      </c>
      <c r="E103" t="s">
        <v>293</v>
      </c>
      <c r="F103" t="s">
        <v>301</v>
      </c>
      <c r="G103" t="s">
        <v>309</v>
      </c>
      <c r="H103">
        <v>6</v>
      </c>
      <c r="I103">
        <v>1013</v>
      </c>
      <c r="J103" s="2">
        <v>6078</v>
      </c>
      <c r="K103" t="s">
        <v>314</v>
      </c>
      <c r="L103" t="s">
        <v>316</v>
      </c>
    </row>
    <row r="104" spans="1:12" x14ac:dyDescent="0.25">
      <c r="A104" t="s">
        <v>101</v>
      </c>
      <c r="B104" t="s">
        <v>327</v>
      </c>
      <c r="C104" t="s">
        <v>345</v>
      </c>
      <c r="D104" t="s">
        <v>289</v>
      </c>
      <c r="E104" t="s">
        <v>296</v>
      </c>
      <c r="F104" t="s">
        <v>302</v>
      </c>
      <c r="G104" t="s">
        <v>310</v>
      </c>
      <c r="H104">
        <v>16</v>
      </c>
      <c r="I104">
        <v>762</v>
      </c>
      <c r="J104" s="2">
        <v>12192</v>
      </c>
      <c r="K104" t="s">
        <v>314</v>
      </c>
      <c r="L104" t="s">
        <v>316</v>
      </c>
    </row>
    <row r="105" spans="1:12" x14ac:dyDescent="0.25">
      <c r="A105" t="s">
        <v>102</v>
      </c>
      <c r="B105" t="s">
        <v>328</v>
      </c>
      <c r="C105" t="s">
        <v>346</v>
      </c>
      <c r="D105" t="s">
        <v>290</v>
      </c>
      <c r="E105" t="s">
        <v>295</v>
      </c>
      <c r="F105" t="s">
        <v>300</v>
      </c>
      <c r="G105" t="s">
        <v>308</v>
      </c>
      <c r="H105">
        <v>14</v>
      </c>
      <c r="I105">
        <v>1470</v>
      </c>
      <c r="J105" s="2">
        <v>20580</v>
      </c>
      <c r="K105" t="s">
        <v>314</v>
      </c>
      <c r="L105" t="s">
        <v>316</v>
      </c>
    </row>
    <row r="106" spans="1:12" x14ac:dyDescent="0.25">
      <c r="A106" t="s">
        <v>45</v>
      </c>
      <c r="B106" t="s">
        <v>318</v>
      </c>
      <c r="C106" t="s">
        <v>337</v>
      </c>
      <c r="D106" t="s">
        <v>288</v>
      </c>
      <c r="E106" t="s">
        <v>299</v>
      </c>
      <c r="F106" t="s">
        <v>302</v>
      </c>
      <c r="G106" t="s">
        <v>310</v>
      </c>
      <c r="H106">
        <v>3</v>
      </c>
      <c r="I106">
        <v>694</v>
      </c>
      <c r="J106" s="2">
        <v>2082</v>
      </c>
      <c r="K106" t="s">
        <v>312</v>
      </c>
      <c r="L106" t="s">
        <v>316</v>
      </c>
    </row>
    <row r="107" spans="1:12" x14ac:dyDescent="0.25">
      <c r="A107" t="s">
        <v>103</v>
      </c>
      <c r="B107" t="s">
        <v>321</v>
      </c>
      <c r="C107" t="s">
        <v>340</v>
      </c>
      <c r="D107" t="s">
        <v>288</v>
      </c>
      <c r="E107" t="s">
        <v>299</v>
      </c>
      <c r="F107" t="s">
        <v>302</v>
      </c>
      <c r="G107" t="s">
        <v>310</v>
      </c>
      <c r="H107">
        <v>14</v>
      </c>
      <c r="I107">
        <v>161</v>
      </c>
      <c r="J107" s="2">
        <v>2254</v>
      </c>
      <c r="K107" t="s">
        <v>311</v>
      </c>
      <c r="L107" t="s">
        <v>316</v>
      </c>
    </row>
    <row r="108" spans="1:12" x14ac:dyDescent="0.25">
      <c r="A108" t="s">
        <v>104</v>
      </c>
      <c r="B108" t="s">
        <v>317</v>
      </c>
      <c r="C108" t="s">
        <v>336</v>
      </c>
      <c r="D108" t="s">
        <v>289</v>
      </c>
      <c r="E108" t="s">
        <v>293</v>
      </c>
      <c r="F108" t="s">
        <v>304</v>
      </c>
      <c r="G108" t="s">
        <v>310</v>
      </c>
      <c r="H108">
        <v>7</v>
      </c>
      <c r="I108">
        <v>596</v>
      </c>
      <c r="J108" s="2">
        <v>4172</v>
      </c>
      <c r="K108" t="s">
        <v>311</v>
      </c>
      <c r="L108" t="s">
        <v>316</v>
      </c>
    </row>
    <row r="109" spans="1:12" x14ac:dyDescent="0.25">
      <c r="A109" t="s">
        <v>105</v>
      </c>
      <c r="B109" t="s">
        <v>322</v>
      </c>
      <c r="C109" t="s">
        <v>341</v>
      </c>
      <c r="D109" t="s">
        <v>288</v>
      </c>
      <c r="E109" t="s">
        <v>293</v>
      </c>
      <c r="F109" t="s">
        <v>304</v>
      </c>
      <c r="G109" t="s">
        <v>310</v>
      </c>
      <c r="H109">
        <v>20</v>
      </c>
      <c r="I109">
        <v>540</v>
      </c>
      <c r="J109" s="2">
        <v>10800</v>
      </c>
      <c r="K109" t="s">
        <v>311</v>
      </c>
      <c r="L109" t="s">
        <v>316</v>
      </c>
    </row>
    <row r="110" spans="1:12" x14ac:dyDescent="0.25">
      <c r="A110" t="s">
        <v>106</v>
      </c>
      <c r="B110" t="s">
        <v>324</v>
      </c>
      <c r="C110" t="s">
        <v>343</v>
      </c>
      <c r="D110" t="s">
        <v>289</v>
      </c>
      <c r="E110" t="s">
        <v>296</v>
      </c>
      <c r="F110" t="s">
        <v>301</v>
      </c>
      <c r="G110" t="s">
        <v>309</v>
      </c>
      <c r="H110">
        <v>8</v>
      </c>
      <c r="I110">
        <v>282</v>
      </c>
      <c r="J110" s="2">
        <v>2256</v>
      </c>
      <c r="K110" t="s">
        <v>314</v>
      </c>
      <c r="L110" t="s">
        <v>315</v>
      </c>
    </row>
    <row r="111" spans="1:12" x14ac:dyDescent="0.25">
      <c r="A111" t="s">
        <v>107</v>
      </c>
      <c r="B111" t="s">
        <v>317</v>
      </c>
      <c r="C111" t="s">
        <v>336</v>
      </c>
      <c r="D111" t="s">
        <v>289</v>
      </c>
      <c r="E111" t="s">
        <v>292</v>
      </c>
      <c r="F111" t="s">
        <v>307</v>
      </c>
      <c r="G111" t="s">
        <v>309</v>
      </c>
      <c r="H111">
        <v>17</v>
      </c>
      <c r="I111">
        <v>1494</v>
      </c>
      <c r="J111" s="2">
        <v>25398</v>
      </c>
      <c r="K111" t="s">
        <v>312</v>
      </c>
      <c r="L111" t="s">
        <v>316</v>
      </c>
    </row>
    <row r="112" spans="1:12" x14ac:dyDescent="0.25">
      <c r="A112" t="s">
        <v>108</v>
      </c>
      <c r="B112" t="s">
        <v>319</v>
      </c>
      <c r="C112" t="s">
        <v>338</v>
      </c>
      <c r="D112" t="s">
        <v>290</v>
      </c>
      <c r="E112" t="s">
        <v>299</v>
      </c>
      <c r="F112" t="s">
        <v>304</v>
      </c>
      <c r="G112" t="s">
        <v>310</v>
      </c>
      <c r="H112">
        <v>18</v>
      </c>
      <c r="I112">
        <v>346</v>
      </c>
      <c r="J112" s="2">
        <v>6228</v>
      </c>
      <c r="K112" t="s">
        <v>314</v>
      </c>
      <c r="L112" t="s">
        <v>315</v>
      </c>
    </row>
    <row r="113" spans="1:12" x14ac:dyDescent="0.25">
      <c r="A113" t="s">
        <v>26</v>
      </c>
      <c r="B113" t="s">
        <v>317</v>
      </c>
      <c r="C113" t="s">
        <v>336</v>
      </c>
      <c r="D113" t="s">
        <v>288</v>
      </c>
      <c r="E113" t="s">
        <v>292</v>
      </c>
      <c r="F113" t="s">
        <v>307</v>
      </c>
      <c r="G113" t="s">
        <v>309</v>
      </c>
      <c r="H113">
        <v>14</v>
      </c>
      <c r="I113">
        <v>746</v>
      </c>
      <c r="J113" s="2">
        <v>10444</v>
      </c>
      <c r="K113" t="s">
        <v>312</v>
      </c>
      <c r="L113" t="s">
        <v>315</v>
      </c>
    </row>
    <row r="114" spans="1:12" x14ac:dyDescent="0.25">
      <c r="A114" t="s">
        <v>46</v>
      </c>
      <c r="B114" t="s">
        <v>326</v>
      </c>
      <c r="C114" t="s">
        <v>326</v>
      </c>
      <c r="D114" t="s">
        <v>289</v>
      </c>
      <c r="E114" t="s">
        <v>298</v>
      </c>
      <c r="F114" t="s">
        <v>303</v>
      </c>
      <c r="G114" t="s">
        <v>309</v>
      </c>
      <c r="H114">
        <v>15</v>
      </c>
      <c r="I114">
        <v>1153</v>
      </c>
      <c r="J114" s="2">
        <v>17295</v>
      </c>
      <c r="K114" t="s">
        <v>314</v>
      </c>
      <c r="L114" t="s">
        <v>316</v>
      </c>
    </row>
    <row r="115" spans="1:12" x14ac:dyDescent="0.25">
      <c r="A115" t="s">
        <v>109</v>
      </c>
      <c r="B115" t="s">
        <v>328</v>
      </c>
      <c r="C115" t="s">
        <v>346</v>
      </c>
      <c r="D115" t="s">
        <v>289</v>
      </c>
      <c r="E115" t="s">
        <v>295</v>
      </c>
      <c r="F115" t="s">
        <v>302</v>
      </c>
      <c r="G115" t="s">
        <v>310</v>
      </c>
      <c r="H115">
        <v>7</v>
      </c>
      <c r="I115">
        <v>1478</v>
      </c>
      <c r="J115" s="2">
        <v>10346</v>
      </c>
      <c r="K115" t="s">
        <v>311</v>
      </c>
      <c r="L115" t="s">
        <v>316</v>
      </c>
    </row>
    <row r="116" spans="1:12" x14ac:dyDescent="0.25">
      <c r="A116" t="s">
        <v>110</v>
      </c>
      <c r="B116" t="s">
        <v>327</v>
      </c>
      <c r="C116" t="s">
        <v>345</v>
      </c>
      <c r="D116" t="s">
        <v>288</v>
      </c>
      <c r="E116" t="s">
        <v>295</v>
      </c>
      <c r="F116" t="s">
        <v>302</v>
      </c>
      <c r="G116" t="s">
        <v>310</v>
      </c>
      <c r="H116">
        <v>16</v>
      </c>
      <c r="I116">
        <v>1494</v>
      </c>
      <c r="J116" s="2">
        <v>23904</v>
      </c>
      <c r="K116" t="s">
        <v>314</v>
      </c>
      <c r="L116" t="s">
        <v>316</v>
      </c>
    </row>
    <row r="117" spans="1:12" x14ac:dyDescent="0.25">
      <c r="A117" t="s">
        <v>45</v>
      </c>
      <c r="B117" t="s">
        <v>318</v>
      </c>
      <c r="C117" t="s">
        <v>337</v>
      </c>
      <c r="D117" t="s">
        <v>289</v>
      </c>
      <c r="E117" t="s">
        <v>293</v>
      </c>
      <c r="F117" t="s">
        <v>307</v>
      </c>
      <c r="G117" t="s">
        <v>309</v>
      </c>
      <c r="H117">
        <v>5</v>
      </c>
      <c r="I117">
        <v>1078</v>
      </c>
      <c r="J117" s="2">
        <v>5390</v>
      </c>
      <c r="K117" t="s">
        <v>312</v>
      </c>
      <c r="L117" t="s">
        <v>315</v>
      </c>
    </row>
    <row r="118" spans="1:12" x14ac:dyDescent="0.25">
      <c r="A118" t="s">
        <v>111</v>
      </c>
      <c r="B118" t="s">
        <v>322</v>
      </c>
      <c r="C118" t="s">
        <v>341</v>
      </c>
      <c r="D118" t="s">
        <v>289</v>
      </c>
      <c r="E118" t="s">
        <v>293</v>
      </c>
      <c r="F118" t="s">
        <v>300</v>
      </c>
      <c r="G118" t="s">
        <v>308</v>
      </c>
      <c r="H118">
        <v>5</v>
      </c>
      <c r="I118">
        <v>889</v>
      </c>
      <c r="J118" s="2">
        <v>4445</v>
      </c>
      <c r="K118" t="s">
        <v>311</v>
      </c>
      <c r="L118" t="s">
        <v>315</v>
      </c>
    </row>
    <row r="119" spans="1:12" x14ac:dyDescent="0.25">
      <c r="A119" t="s">
        <v>112</v>
      </c>
      <c r="B119" t="s">
        <v>322</v>
      </c>
      <c r="C119" t="s">
        <v>341</v>
      </c>
      <c r="D119" t="s">
        <v>291</v>
      </c>
      <c r="E119" t="s">
        <v>294</v>
      </c>
      <c r="F119" t="s">
        <v>303</v>
      </c>
      <c r="G119" t="s">
        <v>309</v>
      </c>
      <c r="H119">
        <v>3</v>
      </c>
      <c r="I119">
        <v>722</v>
      </c>
      <c r="J119" s="2">
        <v>2166</v>
      </c>
      <c r="K119" t="s">
        <v>314</v>
      </c>
      <c r="L119" t="s">
        <v>316</v>
      </c>
    </row>
    <row r="120" spans="1:12" x14ac:dyDescent="0.25">
      <c r="A120" t="s">
        <v>113</v>
      </c>
      <c r="B120" t="s">
        <v>317</v>
      </c>
      <c r="C120" t="s">
        <v>336</v>
      </c>
      <c r="D120" t="s">
        <v>288</v>
      </c>
      <c r="E120" t="s">
        <v>296</v>
      </c>
      <c r="F120" t="s">
        <v>304</v>
      </c>
      <c r="G120" t="s">
        <v>310</v>
      </c>
      <c r="H120">
        <v>8</v>
      </c>
      <c r="I120">
        <v>1342</v>
      </c>
      <c r="J120" s="2">
        <v>10736</v>
      </c>
      <c r="K120" t="s">
        <v>312</v>
      </c>
      <c r="L120" t="s">
        <v>315</v>
      </c>
    </row>
    <row r="121" spans="1:12" x14ac:dyDescent="0.25">
      <c r="A121" t="s">
        <v>114</v>
      </c>
      <c r="B121" t="s">
        <v>321</v>
      </c>
      <c r="C121" t="s">
        <v>340</v>
      </c>
      <c r="D121" t="s">
        <v>288</v>
      </c>
      <c r="E121" t="s">
        <v>296</v>
      </c>
      <c r="F121" t="s">
        <v>302</v>
      </c>
      <c r="G121" t="s">
        <v>310</v>
      </c>
      <c r="H121">
        <v>15</v>
      </c>
      <c r="I121">
        <v>390</v>
      </c>
      <c r="J121" s="2">
        <v>5850</v>
      </c>
      <c r="K121" t="s">
        <v>312</v>
      </c>
      <c r="L121" t="s">
        <v>315</v>
      </c>
    </row>
    <row r="122" spans="1:12" x14ac:dyDescent="0.25">
      <c r="A122" t="s">
        <v>115</v>
      </c>
      <c r="B122" t="s">
        <v>325</v>
      </c>
      <c r="C122" t="s">
        <v>344</v>
      </c>
      <c r="D122" t="s">
        <v>288</v>
      </c>
      <c r="E122" t="s">
        <v>292</v>
      </c>
      <c r="F122" t="s">
        <v>305</v>
      </c>
      <c r="G122" t="s">
        <v>310</v>
      </c>
      <c r="H122">
        <v>12</v>
      </c>
      <c r="I122">
        <v>817</v>
      </c>
      <c r="J122" s="2">
        <v>9804</v>
      </c>
      <c r="K122" t="s">
        <v>314</v>
      </c>
      <c r="L122" t="s">
        <v>315</v>
      </c>
    </row>
    <row r="123" spans="1:12" x14ac:dyDescent="0.25">
      <c r="A123" t="s">
        <v>116</v>
      </c>
      <c r="B123" t="s">
        <v>326</v>
      </c>
      <c r="C123" t="s">
        <v>326</v>
      </c>
      <c r="D123" t="s">
        <v>290</v>
      </c>
      <c r="E123" t="s">
        <v>298</v>
      </c>
      <c r="F123" t="s">
        <v>302</v>
      </c>
      <c r="G123" t="s">
        <v>310</v>
      </c>
      <c r="H123">
        <v>6</v>
      </c>
      <c r="I123">
        <v>211</v>
      </c>
      <c r="J123" s="2">
        <v>1266</v>
      </c>
      <c r="K123" t="s">
        <v>314</v>
      </c>
      <c r="L123" t="s">
        <v>315</v>
      </c>
    </row>
    <row r="124" spans="1:12" x14ac:dyDescent="0.25">
      <c r="A124" t="s">
        <v>117</v>
      </c>
      <c r="B124" t="s">
        <v>319</v>
      </c>
      <c r="C124" t="s">
        <v>338</v>
      </c>
      <c r="D124" t="s">
        <v>290</v>
      </c>
      <c r="E124" t="s">
        <v>299</v>
      </c>
      <c r="F124" t="s">
        <v>307</v>
      </c>
      <c r="G124" t="s">
        <v>309</v>
      </c>
      <c r="H124">
        <v>9</v>
      </c>
      <c r="I124">
        <v>991</v>
      </c>
      <c r="J124" s="2">
        <v>8919</v>
      </c>
      <c r="K124" t="s">
        <v>312</v>
      </c>
      <c r="L124" t="s">
        <v>315</v>
      </c>
    </row>
    <row r="125" spans="1:12" x14ac:dyDescent="0.25">
      <c r="A125" t="s">
        <v>81</v>
      </c>
      <c r="B125" t="s">
        <v>322</v>
      </c>
      <c r="C125" t="s">
        <v>341</v>
      </c>
      <c r="D125" t="s">
        <v>290</v>
      </c>
      <c r="E125" t="s">
        <v>296</v>
      </c>
      <c r="F125" t="s">
        <v>303</v>
      </c>
      <c r="G125" t="s">
        <v>309</v>
      </c>
      <c r="H125">
        <v>15</v>
      </c>
      <c r="I125">
        <v>757</v>
      </c>
      <c r="J125" s="2">
        <v>11355</v>
      </c>
      <c r="K125" t="s">
        <v>312</v>
      </c>
      <c r="L125" t="s">
        <v>316</v>
      </c>
    </row>
    <row r="126" spans="1:12" x14ac:dyDescent="0.25">
      <c r="A126" t="s">
        <v>118</v>
      </c>
      <c r="B126" t="s">
        <v>318</v>
      </c>
      <c r="C126" t="s">
        <v>337</v>
      </c>
      <c r="D126" t="s">
        <v>289</v>
      </c>
      <c r="E126" t="s">
        <v>292</v>
      </c>
      <c r="F126" t="s">
        <v>303</v>
      </c>
      <c r="G126" t="s">
        <v>309</v>
      </c>
      <c r="H126">
        <v>7</v>
      </c>
      <c r="I126">
        <v>837</v>
      </c>
      <c r="J126" s="2">
        <v>5859</v>
      </c>
      <c r="K126" t="s">
        <v>314</v>
      </c>
      <c r="L126" t="s">
        <v>315</v>
      </c>
    </row>
    <row r="127" spans="1:12" x14ac:dyDescent="0.25">
      <c r="A127" t="s">
        <v>119</v>
      </c>
      <c r="B127" t="s">
        <v>326</v>
      </c>
      <c r="C127" t="s">
        <v>326</v>
      </c>
      <c r="D127" t="s">
        <v>291</v>
      </c>
      <c r="E127" t="s">
        <v>292</v>
      </c>
      <c r="F127" t="s">
        <v>302</v>
      </c>
      <c r="G127" t="s">
        <v>310</v>
      </c>
      <c r="H127">
        <v>10</v>
      </c>
      <c r="I127">
        <v>94</v>
      </c>
      <c r="J127" s="2">
        <v>940</v>
      </c>
      <c r="K127" t="s">
        <v>314</v>
      </c>
      <c r="L127" t="s">
        <v>316</v>
      </c>
    </row>
    <row r="128" spans="1:12" x14ac:dyDescent="0.25">
      <c r="A128" t="s">
        <v>120</v>
      </c>
      <c r="B128" t="s">
        <v>325</v>
      </c>
      <c r="C128" t="s">
        <v>344</v>
      </c>
      <c r="D128" t="s">
        <v>289</v>
      </c>
      <c r="E128" t="s">
        <v>292</v>
      </c>
      <c r="F128" t="s">
        <v>301</v>
      </c>
      <c r="G128" t="s">
        <v>309</v>
      </c>
      <c r="H128">
        <v>8</v>
      </c>
      <c r="I128">
        <v>1293</v>
      </c>
      <c r="J128" s="2">
        <v>10344</v>
      </c>
      <c r="K128" t="s">
        <v>312</v>
      </c>
      <c r="L128" t="s">
        <v>315</v>
      </c>
    </row>
    <row r="129" spans="1:12" x14ac:dyDescent="0.25">
      <c r="A129" t="s">
        <v>80</v>
      </c>
      <c r="B129" t="s">
        <v>317</v>
      </c>
      <c r="C129" t="s">
        <v>336</v>
      </c>
      <c r="D129" t="s">
        <v>291</v>
      </c>
      <c r="E129" t="s">
        <v>298</v>
      </c>
      <c r="F129" t="s">
        <v>306</v>
      </c>
      <c r="G129" t="s">
        <v>309</v>
      </c>
      <c r="H129">
        <v>4</v>
      </c>
      <c r="I129">
        <v>1335</v>
      </c>
      <c r="J129" s="2">
        <v>5340</v>
      </c>
      <c r="K129" t="s">
        <v>313</v>
      </c>
      <c r="L129" t="s">
        <v>316</v>
      </c>
    </row>
    <row r="130" spans="1:12" x14ac:dyDescent="0.25">
      <c r="A130" t="s">
        <v>111</v>
      </c>
      <c r="B130" t="s">
        <v>322</v>
      </c>
      <c r="C130" t="s">
        <v>341</v>
      </c>
      <c r="D130" t="s">
        <v>291</v>
      </c>
      <c r="E130" t="s">
        <v>298</v>
      </c>
      <c r="F130" t="s">
        <v>301</v>
      </c>
      <c r="G130" t="s">
        <v>309</v>
      </c>
      <c r="H130">
        <v>3</v>
      </c>
      <c r="I130">
        <v>654</v>
      </c>
      <c r="J130" s="2">
        <v>1962</v>
      </c>
      <c r="K130" t="s">
        <v>312</v>
      </c>
      <c r="L130" t="s">
        <v>316</v>
      </c>
    </row>
    <row r="131" spans="1:12" x14ac:dyDescent="0.25">
      <c r="A131" t="s">
        <v>121</v>
      </c>
      <c r="B131" t="s">
        <v>320</v>
      </c>
      <c r="C131" t="s">
        <v>339</v>
      </c>
      <c r="D131" t="s">
        <v>290</v>
      </c>
      <c r="E131" t="s">
        <v>295</v>
      </c>
      <c r="F131" t="s">
        <v>306</v>
      </c>
      <c r="G131" t="s">
        <v>309</v>
      </c>
      <c r="H131">
        <v>17</v>
      </c>
      <c r="I131">
        <v>1077</v>
      </c>
      <c r="J131" s="2">
        <v>18309</v>
      </c>
      <c r="K131" t="s">
        <v>312</v>
      </c>
      <c r="L131" t="s">
        <v>315</v>
      </c>
    </row>
    <row r="132" spans="1:12" x14ac:dyDescent="0.25">
      <c r="A132" t="s">
        <v>122</v>
      </c>
      <c r="B132" t="s">
        <v>326</v>
      </c>
      <c r="C132" t="s">
        <v>326</v>
      </c>
      <c r="D132" t="s">
        <v>291</v>
      </c>
      <c r="E132" t="s">
        <v>295</v>
      </c>
      <c r="F132" t="s">
        <v>304</v>
      </c>
      <c r="G132" t="s">
        <v>310</v>
      </c>
      <c r="H132">
        <v>4</v>
      </c>
      <c r="I132">
        <v>1009</v>
      </c>
      <c r="J132" s="2">
        <v>4036</v>
      </c>
      <c r="K132" t="s">
        <v>313</v>
      </c>
      <c r="L132" t="s">
        <v>315</v>
      </c>
    </row>
    <row r="133" spans="1:12" x14ac:dyDescent="0.25">
      <c r="A133" t="s">
        <v>123</v>
      </c>
      <c r="B133" t="s">
        <v>327</v>
      </c>
      <c r="C133" t="s">
        <v>345</v>
      </c>
      <c r="D133" t="s">
        <v>291</v>
      </c>
      <c r="E133" t="s">
        <v>296</v>
      </c>
      <c r="F133" t="s">
        <v>302</v>
      </c>
      <c r="G133" t="s">
        <v>310</v>
      </c>
      <c r="H133">
        <v>13</v>
      </c>
      <c r="I133">
        <v>78</v>
      </c>
      <c r="J133" s="2">
        <v>1014</v>
      </c>
      <c r="K133" t="s">
        <v>312</v>
      </c>
      <c r="L133" t="s">
        <v>315</v>
      </c>
    </row>
    <row r="134" spans="1:12" x14ac:dyDescent="0.25">
      <c r="A134" t="s">
        <v>39</v>
      </c>
      <c r="B134" t="s">
        <v>322</v>
      </c>
      <c r="C134" t="s">
        <v>341</v>
      </c>
      <c r="D134" t="s">
        <v>291</v>
      </c>
      <c r="E134" t="s">
        <v>294</v>
      </c>
      <c r="F134" t="s">
        <v>305</v>
      </c>
      <c r="G134" t="s">
        <v>310</v>
      </c>
      <c r="H134">
        <v>12</v>
      </c>
      <c r="I134">
        <v>271</v>
      </c>
      <c r="J134" s="2">
        <v>3252</v>
      </c>
      <c r="K134" t="s">
        <v>311</v>
      </c>
      <c r="L134" t="s">
        <v>316</v>
      </c>
    </row>
    <row r="135" spans="1:12" x14ac:dyDescent="0.25">
      <c r="A135" t="s">
        <v>124</v>
      </c>
      <c r="B135" t="s">
        <v>325</v>
      </c>
      <c r="C135" t="s">
        <v>344</v>
      </c>
      <c r="D135" t="s">
        <v>290</v>
      </c>
      <c r="E135" t="s">
        <v>296</v>
      </c>
      <c r="F135" t="s">
        <v>305</v>
      </c>
      <c r="G135" t="s">
        <v>310</v>
      </c>
      <c r="H135">
        <v>15</v>
      </c>
      <c r="I135">
        <v>1485</v>
      </c>
      <c r="J135" s="2">
        <v>22275</v>
      </c>
      <c r="K135" t="s">
        <v>312</v>
      </c>
      <c r="L135" t="s">
        <v>316</v>
      </c>
    </row>
    <row r="136" spans="1:12" x14ac:dyDescent="0.25">
      <c r="A136" t="s">
        <v>103</v>
      </c>
      <c r="B136" t="s">
        <v>321</v>
      </c>
      <c r="C136" t="s">
        <v>340</v>
      </c>
      <c r="D136" t="s">
        <v>288</v>
      </c>
      <c r="E136" t="s">
        <v>293</v>
      </c>
      <c r="F136" t="s">
        <v>307</v>
      </c>
      <c r="G136" t="s">
        <v>309</v>
      </c>
      <c r="H136">
        <v>10</v>
      </c>
      <c r="I136">
        <v>1058</v>
      </c>
      <c r="J136" s="2">
        <v>10580</v>
      </c>
      <c r="K136" t="s">
        <v>313</v>
      </c>
      <c r="L136" t="s">
        <v>315</v>
      </c>
    </row>
    <row r="137" spans="1:12" x14ac:dyDescent="0.25">
      <c r="A137" t="s">
        <v>67</v>
      </c>
      <c r="B137" t="s">
        <v>327</v>
      </c>
      <c r="C137" t="s">
        <v>345</v>
      </c>
      <c r="D137" t="s">
        <v>289</v>
      </c>
      <c r="E137" t="s">
        <v>299</v>
      </c>
      <c r="F137" t="s">
        <v>307</v>
      </c>
      <c r="G137" t="s">
        <v>309</v>
      </c>
      <c r="H137">
        <v>12</v>
      </c>
      <c r="I137">
        <v>1423</v>
      </c>
      <c r="J137" s="2">
        <v>17076</v>
      </c>
      <c r="K137" t="s">
        <v>314</v>
      </c>
      <c r="L137" t="s">
        <v>315</v>
      </c>
    </row>
    <row r="138" spans="1:12" x14ac:dyDescent="0.25">
      <c r="A138" t="s">
        <v>63</v>
      </c>
      <c r="B138" t="s">
        <v>323</v>
      </c>
      <c r="C138" t="s">
        <v>342</v>
      </c>
      <c r="D138" t="s">
        <v>289</v>
      </c>
      <c r="E138" t="s">
        <v>294</v>
      </c>
      <c r="F138" t="s">
        <v>300</v>
      </c>
      <c r="G138" t="s">
        <v>308</v>
      </c>
      <c r="H138">
        <v>9</v>
      </c>
      <c r="I138">
        <v>117</v>
      </c>
      <c r="J138" s="2">
        <v>1053</v>
      </c>
      <c r="K138" t="s">
        <v>312</v>
      </c>
      <c r="L138" t="s">
        <v>315</v>
      </c>
    </row>
    <row r="139" spans="1:12" x14ac:dyDescent="0.25">
      <c r="A139" t="s">
        <v>125</v>
      </c>
      <c r="B139" t="s">
        <v>322</v>
      </c>
      <c r="C139" t="s">
        <v>341</v>
      </c>
      <c r="D139" t="s">
        <v>290</v>
      </c>
      <c r="E139" t="s">
        <v>295</v>
      </c>
      <c r="F139" t="s">
        <v>304</v>
      </c>
      <c r="G139" t="s">
        <v>310</v>
      </c>
      <c r="H139">
        <v>4</v>
      </c>
      <c r="I139">
        <v>1454</v>
      </c>
      <c r="J139" s="2">
        <v>5816</v>
      </c>
      <c r="K139" t="s">
        <v>312</v>
      </c>
      <c r="L139" t="s">
        <v>316</v>
      </c>
    </row>
    <row r="140" spans="1:12" x14ac:dyDescent="0.25">
      <c r="A140" t="s">
        <v>126</v>
      </c>
      <c r="B140" t="s">
        <v>321</v>
      </c>
      <c r="C140" t="s">
        <v>340</v>
      </c>
      <c r="D140" t="s">
        <v>291</v>
      </c>
      <c r="E140" t="s">
        <v>297</v>
      </c>
      <c r="F140" t="s">
        <v>302</v>
      </c>
      <c r="G140" t="s">
        <v>310</v>
      </c>
      <c r="H140">
        <v>4</v>
      </c>
      <c r="I140">
        <v>981</v>
      </c>
      <c r="J140" s="2">
        <v>3924</v>
      </c>
      <c r="K140" t="s">
        <v>313</v>
      </c>
      <c r="L140" t="s">
        <v>315</v>
      </c>
    </row>
    <row r="141" spans="1:12" x14ac:dyDescent="0.25">
      <c r="A141" t="s">
        <v>127</v>
      </c>
      <c r="B141" t="s">
        <v>317</v>
      </c>
      <c r="C141" t="s">
        <v>336</v>
      </c>
      <c r="D141" t="s">
        <v>288</v>
      </c>
      <c r="E141" t="s">
        <v>295</v>
      </c>
      <c r="F141" t="s">
        <v>301</v>
      </c>
      <c r="G141" t="s">
        <v>309</v>
      </c>
      <c r="H141">
        <v>8</v>
      </c>
      <c r="I141">
        <v>307</v>
      </c>
      <c r="J141" s="2">
        <v>2456</v>
      </c>
      <c r="K141" t="s">
        <v>311</v>
      </c>
      <c r="L141" t="s">
        <v>315</v>
      </c>
    </row>
    <row r="142" spans="1:12" x14ac:dyDescent="0.25">
      <c r="A142" t="s">
        <v>128</v>
      </c>
      <c r="B142" t="s">
        <v>324</v>
      </c>
      <c r="C142" t="s">
        <v>343</v>
      </c>
      <c r="D142" t="s">
        <v>290</v>
      </c>
      <c r="E142" t="s">
        <v>297</v>
      </c>
      <c r="F142" t="s">
        <v>306</v>
      </c>
      <c r="G142" t="s">
        <v>309</v>
      </c>
      <c r="H142">
        <v>11</v>
      </c>
      <c r="I142">
        <v>352</v>
      </c>
      <c r="J142" s="2">
        <v>3872</v>
      </c>
      <c r="K142" t="s">
        <v>313</v>
      </c>
      <c r="L142" t="s">
        <v>316</v>
      </c>
    </row>
    <row r="143" spans="1:12" x14ac:dyDescent="0.25">
      <c r="A143" t="s">
        <v>129</v>
      </c>
      <c r="B143" t="s">
        <v>320</v>
      </c>
      <c r="C143" t="s">
        <v>339</v>
      </c>
      <c r="D143" t="s">
        <v>291</v>
      </c>
      <c r="E143" t="s">
        <v>298</v>
      </c>
      <c r="F143" t="s">
        <v>307</v>
      </c>
      <c r="G143" t="s">
        <v>309</v>
      </c>
      <c r="H143">
        <v>4</v>
      </c>
      <c r="I143">
        <v>1403</v>
      </c>
      <c r="J143" s="2">
        <v>5612</v>
      </c>
      <c r="K143" t="s">
        <v>313</v>
      </c>
      <c r="L143" t="s">
        <v>315</v>
      </c>
    </row>
    <row r="144" spans="1:12" x14ac:dyDescent="0.25">
      <c r="A144" t="s">
        <v>130</v>
      </c>
      <c r="B144" t="s">
        <v>325</v>
      </c>
      <c r="C144" t="s">
        <v>344</v>
      </c>
      <c r="D144" t="s">
        <v>290</v>
      </c>
      <c r="E144" t="s">
        <v>295</v>
      </c>
      <c r="F144" t="s">
        <v>305</v>
      </c>
      <c r="G144" t="s">
        <v>310</v>
      </c>
      <c r="H144">
        <v>1</v>
      </c>
      <c r="I144">
        <v>406</v>
      </c>
      <c r="J144" s="2">
        <v>406</v>
      </c>
      <c r="K144" t="s">
        <v>312</v>
      </c>
      <c r="L144" t="s">
        <v>315</v>
      </c>
    </row>
    <row r="145" spans="1:12" x14ac:dyDescent="0.25">
      <c r="A145" t="s">
        <v>131</v>
      </c>
      <c r="B145" t="s">
        <v>320</v>
      </c>
      <c r="C145" t="s">
        <v>339</v>
      </c>
      <c r="D145" t="s">
        <v>288</v>
      </c>
      <c r="E145" t="s">
        <v>296</v>
      </c>
      <c r="F145" t="s">
        <v>302</v>
      </c>
      <c r="G145" t="s">
        <v>310</v>
      </c>
      <c r="H145">
        <v>16</v>
      </c>
      <c r="I145">
        <v>968</v>
      </c>
      <c r="J145" s="2">
        <v>15488</v>
      </c>
      <c r="K145" t="s">
        <v>312</v>
      </c>
      <c r="L145" t="s">
        <v>315</v>
      </c>
    </row>
    <row r="146" spans="1:12" x14ac:dyDescent="0.25">
      <c r="A146" t="s">
        <v>132</v>
      </c>
      <c r="B146" t="s">
        <v>322</v>
      </c>
      <c r="C146" t="s">
        <v>341</v>
      </c>
      <c r="D146" t="s">
        <v>288</v>
      </c>
      <c r="E146" t="s">
        <v>292</v>
      </c>
      <c r="F146" t="s">
        <v>306</v>
      </c>
      <c r="G146" t="s">
        <v>309</v>
      </c>
      <c r="H146">
        <v>15</v>
      </c>
      <c r="I146">
        <v>1367</v>
      </c>
      <c r="J146" s="2">
        <v>20505</v>
      </c>
      <c r="K146" t="s">
        <v>313</v>
      </c>
      <c r="L146" t="s">
        <v>315</v>
      </c>
    </row>
    <row r="147" spans="1:12" x14ac:dyDescent="0.25">
      <c r="A147" t="s">
        <v>90</v>
      </c>
      <c r="B147" t="s">
        <v>319</v>
      </c>
      <c r="C147" t="s">
        <v>338</v>
      </c>
      <c r="D147" t="s">
        <v>289</v>
      </c>
      <c r="E147" t="s">
        <v>296</v>
      </c>
      <c r="F147" t="s">
        <v>302</v>
      </c>
      <c r="G147" t="s">
        <v>310</v>
      </c>
      <c r="H147">
        <v>16</v>
      </c>
      <c r="I147">
        <v>958</v>
      </c>
      <c r="J147" s="2">
        <v>15328</v>
      </c>
      <c r="K147" t="s">
        <v>313</v>
      </c>
      <c r="L147" t="s">
        <v>315</v>
      </c>
    </row>
    <row r="148" spans="1:12" x14ac:dyDescent="0.25">
      <c r="A148" t="s">
        <v>102</v>
      </c>
      <c r="B148" t="s">
        <v>328</v>
      </c>
      <c r="C148" t="s">
        <v>346</v>
      </c>
      <c r="D148" t="s">
        <v>288</v>
      </c>
      <c r="E148" t="s">
        <v>298</v>
      </c>
      <c r="F148" t="s">
        <v>307</v>
      </c>
      <c r="G148" t="s">
        <v>309</v>
      </c>
      <c r="H148">
        <v>9</v>
      </c>
      <c r="I148">
        <v>1328</v>
      </c>
      <c r="J148" s="2">
        <v>11952</v>
      </c>
      <c r="K148" t="s">
        <v>312</v>
      </c>
      <c r="L148" t="s">
        <v>316</v>
      </c>
    </row>
    <row r="149" spans="1:12" x14ac:dyDescent="0.25">
      <c r="A149" t="s">
        <v>55</v>
      </c>
      <c r="B149" t="s">
        <v>317</v>
      </c>
      <c r="C149" t="s">
        <v>336</v>
      </c>
      <c r="D149" t="s">
        <v>289</v>
      </c>
      <c r="E149" t="s">
        <v>294</v>
      </c>
      <c r="F149" t="s">
        <v>303</v>
      </c>
      <c r="G149" t="s">
        <v>309</v>
      </c>
      <c r="H149">
        <v>4</v>
      </c>
      <c r="I149">
        <v>1487</v>
      </c>
      <c r="J149" s="2">
        <v>5948</v>
      </c>
      <c r="K149" t="s">
        <v>313</v>
      </c>
      <c r="L149" t="s">
        <v>315</v>
      </c>
    </row>
    <row r="150" spans="1:12" x14ac:dyDescent="0.25">
      <c r="A150" t="s">
        <v>57</v>
      </c>
      <c r="B150" t="s">
        <v>322</v>
      </c>
      <c r="C150" t="s">
        <v>341</v>
      </c>
      <c r="D150" t="s">
        <v>290</v>
      </c>
      <c r="E150" t="s">
        <v>294</v>
      </c>
      <c r="F150" t="s">
        <v>304</v>
      </c>
      <c r="G150" t="s">
        <v>310</v>
      </c>
      <c r="H150">
        <v>11</v>
      </c>
      <c r="I150">
        <v>978</v>
      </c>
      <c r="J150" s="2">
        <v>10758</v>
      </c>
      <c r="K150" t="s">
        <v>314</v>
      </c>
      <c r="L150" t="s">
        <v>316</v>
      </c>
    </row>
    <row r="151" spans="1:12" x14ac:dyDescent="0.25">
      <c r="A151" t="s">
        <v>133</v>
      </c>
      <c r="B151" t="s">
        <v>321</v>
      </c>
      <c r="C151" t="s">
        <v>340</v>
      </c>
      <c r="D151" t="s">
        <v>289</v>
      </c>
      <c r="E151" t="s">
        <v>295</v>
      </c>
      <c r="F151" t="s">
        <v>305</v>
      </c>
      <c r="G151" t="s">
        <v>310</v>
      </c>
      <c r="H151">
        <v>9</v>
      </c>
      <c r="I151">
        <v>816</v>
      </c>
      <c r="J151" s="2">
        <v>7344</v>
      </c>
      <c r="K151" t="s">
        <v>311</v>
      </c>
      <c r="L151" t="s">
        <v>316</v>
      </c>
    </row>
    <row r="152" spans="1:12" x14ac:dyDescent="0.25">
      <c r="A152" t="s">
        <v>134</v>
      </c>
      <c r="B152" t="s">
        <v>321</v>
      </c>
      <c r="C152" t="s">
        <v>340</v>
      </c>
      <c r="D152" t="s">
        <v>288</v>
      </c>
      <c r="E152" t="s">
        <v>296</v>
      </c>
      <c r="F152" t="s">
        <v>300</v>
      </c>
      <c r="G152" t="s">
        <v>308</v>
      </c>
      <c r="H152">
        <v>14</v>
      </c>
      <c r="I152">
        <v>247</v>
      </c>
      <c r="J152" s="2">
        <v>3458</v>
      </c>
      <c r="K152" t="s">
        <v>312</v>
      </c>
      <c r="L152" t="s">
        <v>315</v>
      </c>
    </row>
    <row r="153" spans="1:12" x14ac:dyDescent="0.25">
      <c r="A153" t="s">
        <v>135</v>
      </c>
      <c r="B153" t="s">
        <v>324</v>
      </c>
      <c r="C153" t="s">
        <v>343</v>
      </c>
      <c r="D153" t="s">
        <v>291</v>
      </c>
      <c r="E153" t="s">
        <v>296</v>
      </c>
      <c r="F153" t="s">
        <v>301</v>
      </c>
      <c r="G153" t="s">
        <v>309</v>
      </c>
      <c r="H153">
        <v>14</v>
      </c>
      <c r="I153">
        <v>774</v>
      </c>
      <c r="J153" s="2">
        <v>10836</v>
      </c>
      <c r="K153" t="s">
        <v>314</v>
      </c>
      <c r="L153" t="s">
        <v>315</v>
      </c>
    </row>
    <row r="154" spans="1:12" x14ac:dyDescent="0.25">
      <c r="A154" t="s">
        <v>136</v>
      </c>
      <c r="B154" t="s">
        <v>326</v>
      </c>
      <c r="C154" t="s">
        <v>326</v>
      </c>
      <c r="D154" t="s">
        <v>291</v>
      </c>
      <c r="E154" t="s">
        <v>296</v>
      </c>
      <c r="F154" t="s">
        <v>303</v>
      </c>
      <c r="G154" t="s">
        <v>309</v>
      </c>
      <c r="H154">
        <v>19</v>
      </c>
      <c r="I154">
        <v>1089</v>
      </c>
      <c r="J154" s="2">
        <v>20691</v>
      </c>
      <c r="K154" t="s">
        <v>311</v>
      </c>
      <c r="L154" t="s">
        <v>315</v>
      </c>
    </row>
    <row r="155" spans="1:12" x14ac:dyDescent="0.25">
      <c r="A155" t="s">
        <v>137</v>
      </c>
      <c r="B155" t="s">
        <v>318</v>
      </c>
      <c r="C155" t="s">
        <v>337</v>
      </c>
      <c r="D155" t="s">
        <v>290</v>
      </c>
      <c r="E155" t="s">
        <v>296</v>
      </c>
      <c r="F155" t="s">
        <v>304</v>
      </c>
      <c r="G155" t="s">
        <v>310</v>
      </c>
      <c r="H155">
        <v>12</v>
      </c>
      <c r="I155">
        <v>1189</v>
      </c>
      <c r="J155" s="2">
        <v>14268</v>
      </c>
      <c r="K155" t="s">
        <v>312</v>
      </c>
      <c r="L155" t="s">
        <v>315</v>
      </c>
    </row>
    <row r="156" spans="1:12" x14ac:dyDescent="0.25">
      <c r="A156" t="s">
        <v>74</v>
      </c>
      <c r="B156" t="s">
        <v>326</v>
      </c>
      <c r="C156" t="s">
        <v>326</v>
      </c>
      <c r="D156" t="s">
        <v>289</v>
      </c>
      <c r="E156" t="s">
        <v>293</v>
      </c>
      <c r="F156" t="s">
        <v>306</v>
      </c>
      <c r="G156" t="s">
        <v>309</v>
      </c>
      <c r="H156">
        <v>20</v>
      </c>
      <c r="I156">
        <v>1397</v>
      </c>
      <c r="J156" s="2">
        <v>27940</v>
      </c>
      <c r="K156" t="s">
        <v>312</v>
      </c>
      <c r="L156" t="s">
        <v>315</v>
      </c>
    </row>
    <row r="157" spans="1:12" x14ac:dyDescent="0.25">
      <c r="A157" t="s">
        <v>101</v>
      </c>
      <c r="B157" t="s">
        <v>327</v>
      </c>
      <c r="C157" t="s">
        <v>345</v>
      </c>
      <c r="D157" t="s">
        <v>291</v>
      </c>
      <c r="E157" t="s">
        <v>295</v>
      </c>
      <c r="F157" t="s">
        <v>303</v>
      </c>
      <c r="G157" t="s">
        <v>309</v>
      </c>
      <c r="H157">
        <v>12</v>
      </c>
      <c r="I157">
        <v>62</v>
      </c>
      <c r="J157" s="2">
        <v>744</v>
      </c>
      <c r="K157" t="s">
        <v>311</v>
      </c>
      <c r="L157" t="s">
        <v>315</v>
      </c>
    </row>
    <row r="158" spans="1:12" x14ac:dyDescent="0.25">
      <c r="A158" t="s">
        <v>138</v>
      </c>
      <c r="B158" t="s">
        <v>324</v>
      </c>
      <c r="C158" t="s">
        <v>343</v>
      </c>
      <c r="D158" t="s">
        <v>288</v>
      </c>
      <c r="E158" t="s">
        <v>298</v>
      </c>
      <c r="F158" t="s">
        <v>302</v>
      </c>
      <c r="G158" t="s">
        <v>310</v>
      </c>
      <c r="H158">
        <v>1</v>
      </c>
      <c r="I158">
        <v>237</v>
      </c>
      <c r="J158" s="2">
        <v>237</v>
      </c>
      <c r="K158" t="s">
        <v>311</v>
      </c>
      <c r="L158" t="s">
        <v>316</v>
      </c>
    </row>
    <row r="159" spans="1:12" x14ac:dyDescent="0.25">
      <c r="A159" t="s">
        <v>139</v>
      </c>
      <c r="B159" t="s">
        <v>322</v>
      </c>
      <c r="C159" t="s">
        <v>341</v>
      </c>
      <c r="D159" t="s">
        <v>291</v>
      </c>
      <c r="E159" t="s">
        <v>298</v>
      </c>
      <c r="F159" t="s">
        <v>304</v>
      </c>
      <c r="G159" t="s">
        <v>310</v>
      </c>
      <c r="H159">
        <v>12</v>
      </c>
      <c r="I159">
        <v>688</v>
      </c>
      <c r="J159" s="2">
        <v>8256</v>
      </c>
      <c r="K159" t="s">
        <v>312</v>
      </c>
      <c r="L159" t="s">
        <v>315</v>
      </c>
    </row>
    <row r="160" spans="1:12" x14ac:dyDescent="0.25">
      <c r="A160" t="s">
        <v>47</v>
      </c>
      <c r="B160" t="s">
        <v>325</v>
      </c>
      <c r="C160" t="s">
        <v>344</v>
      </c>
      <c r="D160" t="s">
        <v>290</v>
      </c>
      <c r="E160" t="s">
        <v>293</v>
      </c>
      <c r="F160" t="s">
        <v>307</v>
      </c>
      <c r="G160" t="s">
        <v>309</v>
      </c>
      <c r="H160">
        <v>3</v>
      </c>
      <c r="I160">
        <v>607</v>
      </c>
      <c r="J160" s="2">
        <v>1821</v>
      </c>
      <c r="K160" t="s">
        <v>314</v>
      </c>
      <c r="L160" t="s">
        <v>316</v>
      </c>
    </row>
    <row r="161" spans="1:12" x14ac:dyDescent="0.25">
      <c r="A161" t="s">
        <v>140</v>
      </c>
      <c r="B161" t="s">
        <v>319</v>
      </c>
      <c r="C161" t="s">
        <v>338</v>
      </c>
      <c r="D161" t="s">
        <v>289</v>
      </c>
      <c r="E161" t="s">
        <v>292</v>
      </c>
      <c r="F161" t="s">
        <v>304</v>
      </c>
      <c r="G161" t="s">
        <v>310</v>
      </c>
      <c r="H161">
        <v>7</v>
      </c>
      <c r="I161">
        <v>1099</v>
      </c>
      <c r="J161" s="2">
        <v>7693</v>
      </c>
      <c r="K161" t="s">
        <v>313</v>
      </c>
      <c r="L161" t="s">
        <v>316</v>
      </c>
    </row>
    <row r="162" spans="1:12" x14ac:dyDescent="0.25">
      <c r="A162" t="s">
        <v>57</v>
      </c>
      <c r="B162" t="s">
        <v>322</v>
      </c>
      <c r="C162" t="s">
        <v>341</v>
      </c>
      <c r="D162" t="s">
        <v>291</v>
      </c>
      <c r="E162" t="s">
        <v>299</v>
      </c>
      <c r="F162" t="s">
        <v>300</v>
      </c>
      <c r="G162" t="s">
        <v>308</v>
      </c>
      <c r="H162">
        <v>17</v>
      </c>
      <c r="I162">
        <v>1416</v>
      </c>
      <c r="J162" s="2">
        <v>24072</v>
      </c>
      <c r="K162" t="s">
        <v>312</v>
      </c>
      <c r="L162" t="s">
        <v>315</v>
      </c>
    </row>
    <row r="163" spans="1:12" x14ac:dyDescent="0.25">
      <c r="A163" t="s">
        <v>141</v>
      </c>
      <c r="B163" t="s">
        <v>327</v>
      </c>
      <c r="C163" t="s">
        <v>345</v>
      </c>
      <c r="D163" t="s">
        <v>288</v>
      </c>
      <c r="E163" t="s">
        <v>293</v>
      </c>
      <c r="F163" t="s">
        <v>302</v>
      </c>
      <c r="G163" t="s">
        <v>310</v>
      </c>
      <c r="H163">
        <v>7</v>
      </c>
      <c r="I163">
        <v>667</v>
      </c>
      <c r="J163" s="2">
        <v>4669</v>
      </c>
      <c r="K163" t="s">
        <v>311</v>
      </c>
      <c r="L163" t="s">
        <v>315</v>
      </c>
    </row>
    <row r="164" spans="1:12" x14ac:dyDescent="0.25">
      <c r="A164" t="s">
        <v>142</v>
      </c>
      <c r="B164" t="s">
        <v>326</v>
      </c>
      <c r="C164" t="s">
        <v>326</v>
      </c>
      <c r="D164" t="s">
        <v>291</v>
      </c>
      <c r="E164" t="s">
        <v>296</v>
      </c>
      <c r="F164" t="s">
        <v>303</v>
      </c>
      <c r="G164" t="s">
        <v>309</v>
      </c>
      <c r="H164">
        <v>1</v>
      </c>
      <c r="I164">
        <v>1068</v>
      </c>
      <c r="J164" s="2">
        <v>1068</v>
      </c>
      <c r="K164" t="s">
        <v>314</v>
      </c>
      <c r="L164" t="s">
        <v>315</v>
      </c>
    </row>
    <row r="165" spans="1:12" x14ac:dyDescent="0.25">
      <c r="A165" t="s">
        <v>143</v>
      </c>
      <c r="B165" t="s">
        <v>320</v>
      </c>
      <c r="C165" t="s">
        <v>339</v>
      </c>
      <c r="D165" t="s">
        <v>290</v>
      </c>
      <c r="E165" t="s">
        <v>295</v>
      </c>
      <c r="F165" t="s">
        <v>302</v>
      </c>
      <c r="G165" t="s">
        <v>310</v>
      </c>
      <c r="H165">
        <v>3</v>
      </c>
      <c r="I165">
        <v>863</v>
      </c>
      <c r="J165" s="2">
        <v>2589</v>
      </c>
      <c r="K165" t="s">
        <v>313</v>
      </c>
      <c r="L165" t="s">
        <v>316</v>
      </c>
    </row>
    <row r="166" spans="1:12" x14ac:dyDescent="0.25">
      <c r="A166" t="s">
        <v>144</v>
      </c>
      <c r="B166" t="s">
        <v>325</v>
      </c>
      <c r="C166" t="s">
        <v>344</v>
      </c>
      <c r="D166" t="s">
        <v>288</v>
      </c>
      <c r="E166" t="s">
        <v>295</v>
      </c>
      <c r="F166" t="s">
        <v>304</v>
      </c>
      <c r="G166" t="s">
        <v>310</v>
      </c>
      <c r="H166">
        <v>19</v>
      </c>
      <c r="I166">
        <v>929</v>
      </c>
      <c r="J166" s="2">
        <v>17651</v>
      </c>
      <c r="K166" t="s">
        <v>314</v>
      </c>
      <c r="L166" t="s">
        <v>316</v>
      </c>
    </row>
    <row r="167" spans="1:12" x14ac:dyDescent="0.25">
      <c r="A167" t="s">
        <v>145</v>
      </c>
      <c r="B167" t="s">
        <v>326</v>
      </c>
      <c r="C167" t="s">
        <v>326</v>
      </c>
      <c r="D167" t="s">
        <v>289</v>
      </c>
      <c r="E167" t="s">
        <v>293</v>
      </c>
      <c r="F167" t="s">
        <v>300</v>
      </c>
      <c r="G167" t="s">
        <v>308</v>
      </c>
      <c r="H167">
        <v>11</v>
      </c>
      <c r="I167">
        <v>401</v>
      </c>
      <c r="J167" s="2">
        <v>4411</v>
      </c>
      <c r="K167" t="s">
        <v>314</v>
      </c>
      <c r="L167" t="s">
        <v>316</v>
      </c>
    </row>
    <row r="168" spans="1:12" x14ac:dyDescent="0.25">
      <c r="A168" t="s">
        <v>146</v>
      </c>
      <c r="B168" t="s">
        <v>321</v>
      </c>
      <c r="C168" t="s">
        <v>340</v>
      </c>
      <c r="D168" t="s">
        <v>288</v>
      </c>
      <c r="E168" t="s">
        <v>297</v>
      </c>
      <c r="F168" t="s">
        <v>302</v>
      </c>
      <c r="G168" t="s">
        <v>310</v>
      </c>
      <c r="H168">
        <v>14</v>
      </c>
      <c r="I168">
        <v>1256</v>
      </c>
      <c r="J168" s="2">
        <v>17584</v>
      </c>
      <c r="K168" t="s">
        <v>314</v>
      </c>
      <c r="L168" t="s">
        <v>315</v>
      </c>
    </row>
    <row r="169" spans="1:12" x14ac:dyDescent="0.25">
      <c r="A169" t="s">
        <v>20</v>
      </c>
      <c r="B169" t="s">
        <v>323</v>
      </c>
      <c r="C169" t="s">
        <v>342</v>
      </c>
      <c r="D169" t="s">
        <v>291</v>
      </c>
      <c r="E169" t="s">
        <v>297</v>
      </c>
      <c r="F169" t="s">
        <v>303</v>
      </c>
      <c r="G169" t="s">
        <v>309</v>
      </c>
      <c r="H169">
        <v>11</v>
      </c>
      <c r="I169">
        <v>394</v>
      </c>
      <c r="J169" s="2">
        <v>4334</v>
      </c>
      <c r="K169" t="s">
        <v>313</v>
      </c>
      <c r="L169" t="s">
        <v>315</v>
      </c>
    </row>
    <row r="170" spans="1:12" x14ac:dyDescent="0.25">
      <c r="A170" t="s">
        <v>147</v>
      </c>
      <c r="B170" t="s">
        <v>319</v>
      </c>
      <c r="C170" t="s">
        <v>338</v>
      </c>
      <c r="D170" t="s">
        <v>291</v>
      </c>
      <c r="E170" t="s">
        <v>295</v>
      </c>
      <c r="F170" t="s">
        <v>306</v>
      </c>
      <c r="G170" t="s">
        <v>309</v>
      </c>
      <c r="H170">
        <v>5</v>
      </c>
      <c r="I170">
        <v>533</v>
      </c>
      <c r="J170" s="2">
        <v>2665</v>
      </c>
      <c r="K170" t="s">
        <v>313</v>
      </c>
      <c r="L170" t="s">
        <v>315</v>
      </c>
    </row>
    <row r="171" spans="1:12" x14ac:dyDescent="0.25">
      <c r="A171" t="s">
        <v>122</v>
      </c>
      <c r="B171" t="s">
        <v>326</v>
      </c>
      <c r="C171" t="s">
        <v>326</v>
      </c>
      <c r="D171" t="s">
        <v>290</v>
      </c>
      <c r="E171" t="s">
        <v>298</v>
      </c>
      <c r="F171" t="s">
        <v>306</v>
      </c>
      <c r="G171" t="s">
        <v>309</v>
      </c>
      <c r="H171">
        <v>3</v>
      </c>
      <c r="I171">
        <v>412</v>
      </c>
      <c r="J171" s="2">
        <v>1236</v>
      </c>
      <c r="K171" t="s">
        <v>314</v>
      </c>
      <c r="L171" t="s">
        <v>316</v>
      </c>
    </row>
    <row r="172" spans="1:12" x14ac:dyDescent="0.25">
      <c r="A172" t="s">
        <v>148</v>
      </c>
      <c r="B172" t="s">
        <v>324</v>
      </c>
      <c r="C172" t="s">
        <v>343</v>
      </c>
      <c r="D172" t="s">
        <v>291</v>
      </c>
      <c r="E172" t="s">
        <v>295</v>
      </c>
      <c r="F172" t="s">
        <v>304</v>
      </c>
      <c r="G172" t="s">
        <v>310</v>
      </c>
      <c r="H172">
        <v>5</v>
      </c>
      <c r="I172">
        <v>950</v>
      </c>
      <c r="J172" s="2">
        <v>4750</v>
      </c>
      <c r="K172" t="s">
        <v>313</v>
      </c>
      <c r="L172" t="s">
        <v>316</v>
      </c>
    </row>
    <row r="173" spans="1:12" x14ac:dyDescent="0.25">
      <c r="A173" t="s">
        <v>149</v>
      </c>
      <c r="B173" t="s">
        <v>322</v>
      </c>
      <c r="C173" t="s">
        <v>341</v>
      </c>
      <c r="D173" t="s">
        <v>291</v>
      </c>
      <c r="E173" t="s">
        <v>293</v>
      </c>
      <c r="F173" t="s">
        <v>303</v>
      </c>
      <c r="G173" t="s">
        <v>309</v>
      </c>
      <c r="H173">
        <v>12</v>
      </c>
      <c r="I173">
        <v>1089</v>
      </c>
      <c r="J173" s="2">
        <v>13068</v>
      </c>
      <c r="K173" t="s">
        <v>313</v>
      </c>
      <c r="L173" t="s">
        <v>316</v>
      </c>
    </row>
    <row r="174" spans="1:12" x14ac:dyDescent="0.25">
      <c r="A174" t="s">
        <v>150</v>
      </c>
      <c r="B174" t="s">
        <v>322</v>
      </c>
      <c r="C174" t="s">
        <v>341</v>
      </c>
      <c r="D174" t="s">
        <v>288</v>
      </c>
      <c r="E174" t="s">
        <v>293</v>
      </c>
      <c r="F174" t="s">
        <v>304</v>
      </c>
      <c r="G174" t="s">
        <v>310</v>
      </c>
      <c r="H174">
        <v>12</v>
      </c>
      <c r="I174">
        <v>637</v>
      </c>
      <c r="J174" s="2">
        <v>7644</v>
      </c>
      <c r="K174" t="s">
        <v>313</v>
      </c>
      <c r="L174" t="s">
        <v>315</v>
      </c>
    </row>
    <row r="175" spans="1:12" x14ac:dyDescent="0.25">
      <c r="A175" t="s">
        <v>151</v>
      </c>
      <c r="B175" t="s">
        <v>317</v>
      </c>
      <c r="C175" t="s">
        <v>336</v>
      </c>
      <c r="D175" t="s">
        <v>289</v>
      </c>
      <c r="E175" t="s">
        <v>293</v>
      </c>
      <c r="F175" t="s">
        <v>302</v>
      </c>
      <c r="G175" t="s">
        <v>310</v>
      </c>
      <c r="H175">
        <v>15</v>
      </c>
      <c r="I175">
        <v>1220</v>
      </c>
      <c r="J175" s="2">
        <v>18300</v>
      </c>
      <c r="K175" t="s">
        <v>311</v>
      </c>
      <c r="L175" t="s">
        <v>316</v>
      </c>
    </row>
    <row r="176" spans="1:12" x14ac:dyDescent="0.25">
      <c r="A176" t="s">
        <v>152</v>
      </c>
      <c r="B176" t="s">
        <v>317</v>
      </c>
      <c r="C176" t="s">
        <v>336</v>
      </c>
      <c r="D176" t="s">
        <v>290</v>
      </c>
      <c r="E176" t="s">
        <v>293</v>
      </c>
      <c r="F176" t="s">
        <v>304</v>
      </c>
      <c r="G176" t="s">
        <v>310</v>
      </c>
      <c r="H176">
        <v>15</v>
      </c>
      <c r="I176">
        <v>261</v>
      </c>
      <c r="J176" s="2">
        <v>3915</v>
      </c>
      <c r="K176" t="s">
        <v>312</v>
      </c>
      <c r="L176" t="s">
        <v>315</v>
      </c>
    </row>
    <row r="177" spans="1:12" x14ac:dyDescent="0.25">
      <c r="A177" t="s">
        <v>12</v>
      </c>
      <c r="B177" t="s">
        <v>319</v>
      </c>
      <c r="C177" t="s">
        <v>338</v>
      </c>
      <c r="D177" t="s">
        <v>288</v>
      </c>
      <c r="E177" t="s">
        <v>297</v>
      </c>
      <c r="F177" t="s">
        <v>307</v>
      </c>
      <c r="G177" t="s">
        <v>309</v>
      </c>
      <c r="H177">
        <v>15</v>
      </c>
      <c r="I177">
        <v>949</v>
      </c>
      <c r="J177" s="2">
        <v>14235</v>
      </c>
      <c r="K177" t="s">
        <v>311</v>
      </c>
      <c r="L177" t="s">
        <v>316</v>
      </c>
    </row>
    <row r="178" spans="1:12" x14ac:dyDescent="0.25">
      <c r="A178" t="s">
        <v>153</v>
      </c>
      <c r="B178" t="s">
        <v>323</v>
      </c>
      <c r="C178" t="s">
        <v>342</v>
      </c>
      <c r="D178" t="s">
        <v>289</v>
      </c>
      <c r="E178" t="s">
        <v>294</v>
      </c>
      <c r="F178" t="s">
        <v>303</v>
      </c>
      <c r="G178" t="s">
        <v>309</v>
      </c>
      <c r="H178">
        <v>11</v>
      </c>
      <c r="I178">
        <v>1440</v>
      </c>
      <c r="J178" s="2">
        <v>15840</v>
      </c>
      <c r="K178" t="s">
        <v>313</v>
      </c>
      <c r="L178" t="s">
        <v>316</v>
      </c>
    </row>
    <row r="179" spans="1:12" x14ac:dyDescent="0.25">
      <c r="A179" t="s">
        <v>91</v>
      </c>
      <c r="B179" t="s">
        <v>321</v>
      </c>
      <c r="C179" t="s">
        <v>340</v>
      </c>
      <c r="D179" t="s">
        <v>288</v>
      </c>
      <c r="E179" t="s">
        <v>294</v>
      </c>
      <c r="F179" t="s">
        <v>305</v>
      </c>
      <c r="G179" t="s">
        <v>310</v>
      </c>
      <c r="H179">
        <v>10</v>
      </c>
      <c r="I179">
        <v>566</v>
      </c>
      <c r="J179" s="2">
        <v>5660</v>
      </c>
      <c r="K179" t="s">
        <v>311</v>
      </c>
      <c r="L179" t="s">
        <v>316</v>
      </c>
    </row>
    <row r="180" spans="1:12" x14ac:dyDescent="0.25">
      <c r="A180" t="s">
        <v>99</v>
      </c>
      <c r="B180" t="s">
        <v>321</v>
      </c>
      <c r="C180" t="s">
        <v>340</v>
      </c>
      <c r="D180" t="s">
        <v>291</v>
      </c>
      <c r="E180" t="s">
        <v>292</v>
      </c>
      <c r="F180" t="s">
        <v>307</v>
      </c>
      <c r="G180" t="s">
        <v>309</v>
      </c>
      <c r="H180">
        <v>13</v>
      </c>
      <c r="I180">
        <v>314</v>
      </c>
      <c r="J180" s="2">
        <v>4082</v>
      </c>
      <c r="K180" t="s">
        <v>313</v>
      </c>
      <c r="L180" t="s">
        <v>316</v>
      </c>
    </row>
    <row r="181" spans="1:12" x14ac:dyDescent="0.25">
      <c r="A181" t="s">
        <v>154</v>
      </c>
      <c r="B181" t="s">
        <v>324</v>
      </c>
      <c r="C181" t="s">
        <v>343</v>
      </c>
      <c r="D181" t="s">
        <v>291</v>
      </c>
      <c r="E181" t="s">
        <v>298</v>
      </c>
      <c r="F181" t="s">
        <v>302</v>
      </c>
      <c r="G181" t="s">
        <v>310</v>
      </c>
      <c r="H181">
        <v>17</v>
      </c>
      <c r="I181">
        <v>241</v>
      </c>
      <c r="J181" s="2">
        <v>4097</v>
      </c>
      <c r="K181" t="s">
        <v>314</v>
      </c>
      <c r="L181" t="s">
        <v>316</v>
      </c>
    </row>
    <row r="182" spans="1:12" x14ac:dyDescent="0.25">
      <c r="A182" t="s">
        <v>144</v>
      </c>
      <c r="B182" t="s">
        <v>325</v>
      </c>
      <c r="C182" t="s">
        <v>344</v>
      </c>
      <c r="D182" t="s">
        <v>291</v>
      </c>
      <c r="E182" t="s">
        <v>298</v>
      </c>
      <c r="F182" t="s">
        <v>305</v>
      </c>
      <c r="G182" t="s">
        <v>310</v>
      </c>
      <c r="H182">
        <v>7</v>
      </c>
      <c r="I182">
        <v>749</v>
      </c>
      <c r="J182" s="2">
        <v>5243</v>
      </c>
      <c r="K182" t="s">
        <v>314</v>
      </c>
      <c r="L182" t="s">
        <v>315</v>
      </c>
    </row>
    <row r="183" spans="1:12" x14ac:dyDescent="0.25">
      <c r="A183" t="s">
        <v>123</v>
      </c>
      <c r="B183" t="s">
        <v>327</v>
      </c>
      <c r="C183" t="s">
        <v>345</v>
      </c>
      <c r="D183" t="s">
        <v>290</v>
      </c>
      <c r="E183" t="s">
        <v>296</v>
      </c>
      <c r="F183" t="s">
        <v>307</v>
      </c>
      <c r="G183" t="s">
        <v>309</v>
      </c>
      <c r="H183">
        <v>10</v>
      </c>
      <c r="I183">
        <v>257</v>
      </c>
      <c r="J183" s="2">
        <v>2570</v>
      </c>
      <c r="K183" t="s">
        <v>313</v>
      </c>
      <c r="L183" t="s">
        <v>316</v>
      </c>
    </row>
    <row r="184" spans="1:12" x14ac:dyDescent="0.25">
      <c r="A184" t="s">
        <v>155</v>
      </c>
      <c r="B184" t="s">
        <v>317</v>
      </c>
      <c r="C184" t="s">
        <v>336</v>
      </c>
      <c r="D184" t="s">
        <v>289</v>
      </c>
      <c r="E184" t="s">
        <v>298</v>
      </c>
      <c r="F184" t="s">
        <v>307</v>
      </c>
      <c r="G184" t="s">
        <v>309</v>
      </c>
      <c r="H184">
        <v>6</v>
      </c>
      <c r="I184">
        <v>420</v>
      </c>
      <c r="J184" s="2">
        <v>2520</v>
      </c>
      <c r="K184" t="s">
        <v>311</v>
      </c>
      <c r="L184" t="s">
        <v>316</v>
      </c>
    </row>
    <row r="185" spans="1:12" x14ac:dyDescent="0.25">
      <c r="A185" t="s">
        <v>156</v>
      </c>
      <c r="B185" t="s">
        <v>325</v>
      </c>
      <c r="C185" t="s">
        <v>344</v>
      </c>
      <c r="D185" t="s">
        <v>291</v>
      </c>
      <c r="E185" t="s">
        <v>297</v>
      </c>
      <c r="F185" t="s">
        <v>302</v>
      </c>
      <c r="G185" t="s">
        <v>310</v>
      </c>
      <c r="H185">
        <v>15</v>
      </c>
      <c r="I185">
        <v>1300</v>
      </c>
      <c r="J185" s="2">
        <v>19500</v>
      </c>
      <c r="K185" t="s">
        <v>312</v>
      </c>
      <c r="L185" t="s">
        <v>316</v>
      </c>
    </row>
    <row r="186" spans="1:12" x14ac:dyDescent="0.25">
      <c r="A186" t="s">
        <v>110</v>
      </c>
      <c r="B186" t="s">
        <v>327</v>
      </c>
      <c r="C186" t="s">
        <v>345</v>
      </c>
      <c r="D186" t="s">
        <v>291</v>
      </c>
      <c r="E186" t="s">
        <v>299</v>
      </c>
      <c r="F186" t="s">
        <v>306</v>
      </c>
      <c r="G186" t="s">
        <v>309</v>
      </c>
      <c r="H186">
        <v>7</v>
      </c>
      <c r="I186">
        <v>803</v>
      </c>
      <c r="J186" s="2">
        <v>5621</v>
      </c>
      <c r="K186" t="s">
        <v>314</v>
      </c>
      <c r="L186" t="s">
        <v>316</v>
      </c>
    </row>
    <row r="187" spans="1:12" x14ac:dyDescent="0.25">
      <c r="A187" t="s">
        <v>46</v>
      </c>
      <c r="B187" t="s">
        <v>326</v>
      </c>
      <c r="C187" t="s">
        <v>326</v>
      </c>
      <c r="D187" t="s">
        <v>289</v>
      </c>
      <c r="E187" t="s">
        <v>298</v>
      </c>
      <c r="F187" t="s">
        <v>302</v>
      </c>
      <c r="G187" t="s">
        <v>310</v>
      </c>
      <c r="H187">
        <v>7</v>
      </c>
      <c r="I187">
        <v>1288</v>
      </c>
      <c r="J187" s="2">
        <v>9016</v>
      </c>
      <c r="K187" t="s">
        <v>311</v>
      </c>
      <c r="L187" t="s">
        <v>316</v>
      </c>
    </row>
    <row r="188" spans="1:12" x14ac:dyDescent="0.25">
      <c r="A188" t="s">
        <v>47</v>
      </c>
      <c r="B188" t="s">
        <v>325</v>
      </c>
      <c r="C188" t="s">
        <v>344</v>
      </c>
      <c r="D188" t="s">
        <v>291</v>
      </c>
      <c r="E188" t="s">
        <v>296</v>
      </c>
      <c r="F188" t="s">
        <v>304</v>
      </c>
      <c r="G188" t="s">
        <v>310</v>
      </c>
      <c r="H188">
        <v>17</v>
      </c>
      <c r="I188">
        <v>305</v>
      </c>
      <c r="J188" s="2">
        <v>5185</v>
      </c>
      <c r="K188" t="s">
        <v>312</v>
      </c>
      <c r="L188" t="s">
        <v>315</v>
      </c>
    </row>
    <row r="189" spans="1:12" x14ac:dyDescent="0.25">
      <c r="A189" t="s">
        <v>157</v>
      </c>
      <c r="B189" t="s">
        <v>320</v>
      </c>
      <c r="C189" t="s">
        <v>339</v>
      </c>
      <c r="D189" t="s">
        <v>289</v>
      </c>
      <c r="E189" t="s">
        <v>298</v>
      </c>
      <c r="F189" t="s">
        <v>303</v>
      </c>
      <c r="G189" t="s">
        <v>309</v>
      </c>
      <c r="H189">
        <v>14</v>
      </c>
      <c r="I189">
        <v>237</v>
      </c>
      <c r="J189" s="2">
        <v>3318</v>
      </c>
      <c r="K189" t="s">
        <v>311</v>
      </c>
      <c r="L189" t="s">
        <v>316</v>
      </c>
    </row>
    <row r="190" spans="1:12" x14ac:dyDescent="0.25">
      <c r="A190" t="s">
        <v>158</v>
      </c>
      <c r="B190" t="s">
        <v>328</v>
      </c>
      <c r="C190" t="s">
        <v>346</v>
      </c>
      <c r="D190" t="s">
        <v>289</v>
      </c>
      <c r="E190" t="s">
        <v>293</v>
      </c>
      <c r="F190" t="s">
        <v>301</v>
      </c>
      <c r="G190" t="s">
        <v>309</v>
      </c>
      <c r="H190">
        <v>13</v>
      </c>
      <c r="I190">
        <v>1078</v>
      </c>
      <c r="J190" s="2">
        <v>14014</v>
      </c>
      <c r="K190" t="s">
        <v>312</v>
      </c>
      <c r="L190" t="s">
        <v>315</v>
      </c>
    </row>
    <row r="191" spans="1:12" x14ac:dyDescent="0.25">
      <c r="A191" t="s">
        <v>159</v>
      </c>
      <c r="B191" t="s">
        <v>323</v>
      </c>
      <c r="C191" t="s">
        <v>342</v>
      </c>
      <c r="D191" t="s">
        <v>291</v>
      </c>
      <c r="E191" t="s">
        <v>297</v>
      </c>
      <c r="F191" t="s">
        <v>300</v>
      </c>
      <c r="G191" t="s">
        <v>308</v>
      </c>
      <c r="H191">
        <v>1</v>
      </c>
      <c r="I191">
        <v>702</v>
      </c>
      <c r="J191" s="2">
        <v>702</v>
      </c>
      <c r="K191" t="s">
        <v>313</v>
      </c>
      <c r="L191" t="s">
        <v>316</v>
      </c>
    </row>
    <row r="192" spans="1:12" x14ac:dyDescent="0.25">
      <c r="A192" t="s">
        <v>129</v>
      </c>
      <c r="B192" t="s">
        <v>320</v>
      </c>
      <c r="C192" t="s">
        <v>339</v>
      </c>
      <c r="D192" t="s">
        <v>288</v>
      </c>
      <c r="E192" t="s">
        <v>292</v>
      </c>
      <c r="F192" t="s">
        <v>307</v>
      </c>
      <c r="G192" t="s">
        <v>309</v>
      </c>
      <c r="H192">
        <v>16</v>
      </c>
      <c r="I192">
        <v>1475</v>
      </c>
      <c r="J192" s="2">
        <v>23600</v>
      </c>
      <c r="K192" t="s">
        <v>311</v>
      </c>
      <c r="L192" t="s">
        <v>316</v>
      </c>
    </row>
    <row r="193" spans="1:12" x14ac:dyDescent="0.25">
      <c r="A193" t="s">
        <v>160</v>
      </c>
      <c r="B193" t="s">
        <v>322</v>
      </c>
      <c r="C193" t="s">
        <v>341</v>
      </c>
      <c r="D193" t="s">
        <v>288</v>
      </c>
      <c r="E193" t="s">
        <v>293</v>
      </c>
      <c r="F193" t="s">
        <v>301</v>
      </c>
      <c r="G193" t="s">
        <v>309</v>
      </c>
      <c r="H193">
        <v>9</v>
      </c>
      <c r="I193">
        <v>491</v>
      </c>
      <c r="J193" s="2">
        <v>4419</v>
      </c>
      <c r="K193" t="s">
        <v>311</v>
      </c>
      <c r="L193" t="s">
        <v>316</v>
      </c>
    </row>
    <row r="194" spans="1:12" x14ac:dyDescent="0.25">
      <c r="A194" t="s">
        <v>161</v>
      </c>
      <c r="B194" t="s">
        <v>321</v>
      </c>
      <c r="C194" t="s">
        <v>340</v>
      </c>
      <c r="D194" t="s">
        <v>290</v>
      </c>
      <c r="E194" t="s">
        <v>292</v>
      </c>
      <c r="F194" t="s">
        <v>303</v>
      </c>
      <c r="G194" t="s">
        <v>309</v>
      </c>
      <c r="H194">
        <v>4</v>
      </c>
      <c r="I194">
        <v>147</v>
      </c>
      <c r="J194" s="2">
        <v>588</v>
      </c>
      <c r="K194" t="s">
        <v>311</v>
      </c>
      <c r="L194" t="s">
        <v>316</v>
      </c>
    </row>
    <row r="195" spans="1:12" x14ac:dyDescent="0.25">
      <c r="A195" t="s">
        <v>10</v>
      </c>
      <c r="B195" t="s">
        <v>317</v>
      </c>
      <c r="C195" t="s">
        <v>336</v>
      </c>
      <c r="D195" t="s">
        <v>288</v>
      </c>
      <c r="E195" t="s">
        <v>296</v>
      </c>
      <c r="F195" t="s">
        <v>304</v>
      </c>
      <c r="G195" t="s">
        <v>310</v>
      </c>
      <c r="H195">
        <v>16</v>
      </c>
      <c r="I195">
        <v>1272</v>
      </c>
      <c r="J195" s="2">
        <v>20352</v>
      </c>
      <c r="K195" t="s">
        <v>313</v>
      </c>
      <c r="L195" t="s">
        <v>315</v>
      </c>
    </row>
    <row r="196" spans="1:12" x14ac:dyDescent="0.25">
      <c r="A196" t="s">
        <v>162</v>
      </c>
      <c r="B196" t="s">
        <v>320</v>
      </c>
      <c r="C196" t="s">
        <v>339</v>
      </c>
      <c r="D196" t="s">
        <v>289</v>
      </c>
      <c r="E196" t="s">
        <v>293</v>
      </c>
      <c r="F196" t="s">
        <v>303</v>
      </c>
      <c r="G196" t="s">
        <v>309</v>
      </c>
      <c r="H196">
        <v>20</v>
      </c>
      <c r="I196">
        <v>772</v>
      </c>
      <c r="J196" s="2">
        <v>15440</v>
      </c>
      <c r="K196" t="s">
        <v>311</v>
      </c>
      <c r="L196" t="s">
        <v>316</v>
      </c>
    </row>
    <row r="197" spans="1:12" x14ac:dyDescent="0.25">
      <c r="A197" t="s">
        <v>163</v>
      </c>
      <c r="B197" t="s">
        <v>327</v>
      </c>
      <c r="C197" t="s">
        <v>345</v>
      </c>
      <c r="D197" t="s">
        <v>291</v>
      </c>
      <c r="E197" t="s">
        <v>296</v>
      </c>
      <c r="F197" t="s">
        <v>300</v>
      </c>
      <c r="G197" t="s">
        <v>308</v>
      </c>
      <c r="H197">
        <v>17</v>
      </c>
      <c r="I197">
        <v>1164</v>
      </c>
      <c r="J197" s="2">
        <v>19788</v>
      </c>
      <c r="K197" t="s">
        <v>313</v>
      </c>
      <c r="L197" t="s">
        <v>316</v>
      </c>
    </row>
    <row r="198" spans="1:12" x14ac:dyDescent="0.25">
      <c r="A198" t="s">
        <v>112</v>
      </c>
      <c r="B198" t="s">
        <v>322</v>
      </c>
      <c r="C198" t="s">
        <v>341</v>
      </c>
      <c r="D198" t="s">
        <v>289</v>
      </c>
      <c r="E198" t="s">
        <v>295</v>
      </c>
      <c r="F198" t="s">
        <v>301</v>
      </c>
      <c r="G198" t="s">
        <v>309</v>
      </c>
      <c r="H198">
        <v>9</v>
      </c>
      <c r="I198">
        <v>83</v>
      </c>
      <c r="J198" s="2">
        <v>747</v>
      </c>
      <c r="K198" t="s">
        <v>312</v>
      </c>
      <c r="L198" t="s">
        <v>315</v>
      </c>
    </row>
    <row r="199" spans="1:12" x14ac:dyDescent="0.25">
      <c r="A199" t="s">
        <v>164</v>
      </c>
      <c r="B199" t="s">
        <v>328</v>
      </c>
      <c r="C199" t="s">
        <v>346</v>
      </c>
      <c r="D199" t="s">
        <v>288</v>
      </c>
      <c r="E199" t="s">
        <v>295</v>
      </c>
      <c r="F199" t="s">
        <v>306</v>
      </c>
      <c r="G199" t="s">
        <v>309</v>
      </c>
      <c r="H199">
        <v>5</v>
      </c>
      <c r="I199">
        <v>140</v>
      </c>
      <c r="J199" s="2">
        <v>700</v>
      </c>
      <c r="K199" t="s">
        <v>312</v>
      </c>
      <c r="L199" t="s">
        <v>316</v>
      </c>
    </row>
    <row r="200" spans="1:12" x14ac:dyDescent="0.25">
      <c r="A200" t="s">
        <v>165</v>
      </c>
      <c r="B200" t="s">
        <v>317</v>
      </c>
      <c r="C200" t="s">
        <v>336</v>
      </c>
      <c r="D200" t="s">
        <v>289</v>
      </c>
      <c r="E200" t="s">
        <v>299</v>
      </c>
      <c r="F200" t="s">
        <v>307</v>
      </c>
      <c r="G200" t="s">
        <v>309</v>
      </c>
      <c r="H200">
        <v>6</v>
      </c>
      <c r="I200">
        <v>326</v>
      </c>
      <c r="J200" s="2">
        <v>1956</v>
      </c>
      <c r="K200" t="s">
        <v>313</v>
      </c>
      <c r="L200" t="s">
        <v>316</v>
      </c>
    </row>
    <row r="201" spans="1:12" x14ac:dyDescent="0.25">
      <c r="A201" t="s">
        <v>166</v>
      </c>
      <c r="B201" t="s">
        <v>325</v>
      </c>
      <c r="C201" t="s">
        <v>344</v>
      </c>
      <c r="D201" t="s">
        <v>290</v>
      </c>
      <c r="E201" t="s">
        <v>293</v>
      </c>
      <c r="F201" t="s">
        <v>303</v>
      </c>
      <c r="G201" t="s">
        <v>309</v>
      </c>
      <c r="H201">
        <v>7</v>
      </c>
      <c r="I201">
        <v>135</v>
      </c>
      <c r="J201" s="2">
        <v>945</v>
      </c>
      <c r="K201" t="s">
        <v>312</v>
      </c>
      <c r="L201" t="s">
        <v>316</v>
      </c>
    </row>
    <row r="202" spans="1:12" x14ac:dyDescent="0.25">
      <c r="A202" t="s">
        <v>32</v>
      </c>
      <c r="B202" t="s">
        <v>319</v>
      </c>
      <c r="C202" t="s">
        <v>338</v>
      </c>
      <c r="D202" t="s">
        <v>289</v>
      </c>
      <c r="E202" t="s">
        <v>292</v>
      </c>
      <c r="F202" t="s">
        <v>302</v>
      </c>
      <c r="G202" t="s">
        <v>310</v>
      </c>
      <c r="H202">
        <v>2</v>
      </c>
      <c r="I202">
        <v>1374</v>
      </c>
      <c r="J202" s="2">
        <v>2748</v>
      </c>
      <c r="K202" t="s">
        <v>311</v>
      </c>
      <c r="L202" t="s">
        <v>316</v>
      </c>
    </row>
    <row r="203" spans="1:12" x14ac:dyDescent="0.25">
      <c r="A203" t="s">
        <v>167</v>
      </c>
      <c r="B203" t="s">
        <v>323</v>
      </c>
      <c r="C203" t="s">
        <v>342</v>
      </c>
      <c r="D203" t="s">
        <v>291</v>
      </c>
      <c r="E203" t="s">
        <v>292</v>
      </c>
      <c r="F203" t="s">
        <v>301</v>
      </c>
      <c r="G203" t="s">
        <v>309</v>
      </c>
      <c r="H203">
        <v>4</v>
      </c>
      <c r="I203">
        <v>803</v>
      </c>
      <c r="J203" s="2">
        <v>3212</v>
      </c>
      <c r="K203" t="s">
        <v>314</v>
      </c>
      <c r="L203" t="s">
        <v>316</v>
      </c>
    </row>
    <row r="204" spans="1:12" x14ac:dyDescent="0.25">
      <c r="A204" t="s">
        <v>111</v>
      </c>
      <c r="B204" t="s">
        <v>322</v>
      </c>
      <c r="C204" t="s">
        <v>341</v>
      </c>
      <c r="D204" t="s">
        <v>291</v>
      </c>
      <c r="E204" t="s">
        <v>298</v>
      </c>
      <c r="F204" t="s">
        <v>302</v>
      </c>
      <c r="G204" t="s">
        <v>310</v>
      </c>
      <c r="H204">
        <v>16</v>
      </c>
      <c r="I204">
        <v>1467</v>
      </c>
      <c r="J204" s="2">
        <v>23472</v>
      </c>
      <c r="K204" t="s">
        <v>314</v>
      </c>
      <c r="L204" t="s">
        <v>316</v>
      </c>
    </row>
    <row r="205" spans="1:12" x14ac:dyDescent="0.25">
      <c r="A205" t="s">
        <v>168</v>
      </c>
      <c r="B205" t="s">
        <v>319</v>
      </c>
      <c r="C205" t="s">
        <v>338</v>
      </c>
      <c r="D205" t="s">
        <v>288</v>
      </c>
      <c r="E205" t="s">
        <v>294</v>
      </c>
      <c r="F205" t="s">
        <v>303</v>
      </c>
      <c r="G205" t="s">
        <v>309</v>
      </c>
      <c r="H205">
        <v>3</v>
      </c>
      <c r="I205">
        <v>931</v>
      </c>
      <c r="J205" s="2">
        <v>2793</v>
      </c>
      <c r="K205" t="s">
        <v>311</v>
      </c>
      <c r="L205" t="s">
        <v>316</v>
      </c>
    </row>
    <row r="206" spans="1:12" x14ac:dyDescent="0.25">
      <c r="A206" t="s">
        <v>102</v>
      </c>
      <c r="B206" t="s">
        <v>328</v>
      </c>
      <c r="C206" t="s">
        <v>346</v>
      </c>
      <c r="D206" t="s">
        <v>288</v>
      </c>
      <c r="E206" t="s">
        <v>295</v>
      </c>
      <c r="F206" t="s">
        <v>300</v>
      </c>
      <c r="G206" t="s">
        <v>308</v>
      </c>
      <c r="H206">
        <v>10</v>
      </c>
      <c r="I206">
        <v>677</v>
      </c>
      <c r="J206" s="2">
        <v>6770</v>
      </c>
      <c r="K206" t="s">
        <v>314</v>
      </c>
      <c r="L206" t="s">
        <v>316</v>
      </c>
    </row>
    <row r="207" spans="1:12" x14ac:dyDescent="0.25">
      <c r="A207" t="s">
        <v>169</v>
      </c>
      <c r="B207" t="s">
        <v>320</v>
      </c>
      <c r="C207" t="s">
        <v>339</v>
      </c>
      <c r="D207" t="s">
        <v>291</v>
      </c>
      <c r="E207" t="s">
        <v>299</v>
      </c>
      <c r="F207" t="s">
        <v>304</v>
      </c>
      <c r="G207" t="s">
        <v>310</v>
      </c>
      <c r="H207">
        <v>2</v>
      </c>
      <c r="I207">
        <v>772</v>
      </c>
      <c r="J207" s="2">
        <v>1544</v>
      </c>
      <c r="K207" t="s">
        <v>314</v>
      </c>
      <c r="L207" t="s">
        <v>316</v>
      </c>
    </row>
    <row r="208" spans="1:12" x14ac:dyDescent="0.25">
      <c r="A208" t="s">
        <v>10</v>
      </c>
      <c r="B208" t="s">
        <v>317</v>
      </c>
      <c r="C208" t="s">
        <v>336</v>
      </c>
      <c r="D208" t="s">
        <v>288</v>
      </c>
      <c r="E208" t="s">
        <v>294</v>
      </c>
      <c r="F208" t="s">
        <v>301</v>
      </c>
      <c r="G208" t="s">
        <v>309</v>
      </c>
      <c r="H208">
        <v>12</v>
      </c>
      <c r="I208">
        <v>1100</v>
      </c>
      <c r="J208" s="2">
        <v>13200</v>
      </c>
      <c r="K208" t="s">
        <v>311</v>
      </c>
      <c r="L208" t="s">
        <v>315</v>
      </c>
    </row>
    <row r="209" spans="1:12" x14ac:dyDescent="0.25">
      <c r="A209" t="s">
        <v>162</v>
      </c>
      <c r="B209" t="s">
        <v>320</v>
      </c>
      <c r="C209" t="s">
        <v>339</v>
      </c>
      <c r="D209" t="s">
        <v>288</v>
      </c>
      <c r="E209" t="s">
        <v>298</v>
      </c>
      <c r="F209" t="s">
        <v>304</v>
      </c>
      <c r="G209" t="s">
        <v>310</v>
      </c>
      <c r="H209">
        <v>3</v>
      </c>
      <c r="I209">
        <v>533</v>
      </c>
      <c r="J209" s="2">
        <v>1599</v>
      </c>
      <c r="K209" t="s">
        <v>312</v>
      </c>
      <c r="L209" t="s">
        <v>316</v>
      </c>
    </row>
    <row r="210" spans="1:12" x14ac:dyDescent="0.25">
      <c r="A210" t="s">
        <v>170</v>
      </c>
      <c r="B210" t="s">
        <v>323</v>
      </c>
      <c r="C210" t="s">
        <v>342</v>
      </c>
      <c r="D210" t="s">
        <v>290</v>
      </c>
      <c r="E210" t="s">
        <v>299</v>
      </c>
      <c r="F210" t="s">
        <v>301</v>
      </c>
      <c r="G210" t="s">
        <v>309</v>
      </c>
      <c r="H210">
        <v>12</v>
      </c>
      <c r="I210">
        <v>811</v>
      </c>
      <c r="J210" s="2">
        <v>9732</v>
      </c>
      <c r="K210" t="s">
        <v>314</v>
      </c>
      <c r="L210" t="s">
        <v>315</v>
      </c>
    </row>
    <row r="211" spans="1:12" x14ac:dyDescent="0.25">
      <c r="A211" t="s">
        <v>171</v>
      </c>
      <c r="B211" t="s">
        <v>324</v>
      </c>
      <c r="C211" t="s">
        <v>343</v>
      </c>
      <c r="D211" t="s">
        <v>291</v>
      </c>
      <c r="E211" t="s">
        <v>294</v>
      </c>
      <c r="F211" t="s">
        <v>307</v>
      </c>
      <c r="G211" t="s">
        <v>309</v>
      </c>
      <c r="H211">
        <v>11</v>
      </c>
      <c r="I211">
        <v>1380</v>
      </c>
      <c r="J211" s="2">
        <v>15180</v>
      </c>
      <c r="K211" t="s">
        <v>312</v>
      </c>
      <c r="L211" t="s">
        <v>315</v>
      </c>
    </row>
    <row r="212" spans="1:12" x14ac:dyDescent="0.25">
      <c r="A212" t="s">
        <v>172</v>
      </c>
      <c r="B212" t="s">
        <v>321</v>
      </c>
      <c r="C212" t="s">
        <v>340</v>
      </c>
      <c r="D212" t="s">
        <v>290</v>
      </c>
      <c r="E212" t="s">
        <v>299</v>
      </c>
      <c r="F212" t="s">
        <v>301</v>
      </c>
      <c r="G212" t="s">
        <v>309</v>
      </c>
      <c r="H212">
        <v>17</v>
      </c>
      <c r="I212">
        <v>842</v>
      </c>
      <c r="J212" s="2">
        <v>14314</v>
      </c>
      <c r="K212" t="s">
        <v>313</v>
      </c>
      <c r="L212" t="s">
        <v>316</v>
      </c>
    </row>
    <row r="213" spans="1:12" x14ac:dyDescent="0.25">
      <c r="A213" t="s">
        <v>73</v>
      </c>
      <c r="B213" t="s">
        <v>326</v>
      </c>
      <c r="C213" t="s">
        <v>326</v>
      </c>
      <c r="D213" t="s">
        <v>290</v>
      </c>
      <c r="E213" t="s">
        <v>292</v>
      </c>
      <c r="F213" t="s">
        <v>304</v>
      </c>
      <c r="G213" t="s">
        <v>310</v>
      </c>
      <c r="H213">
        <v>16</v>
      </c>
      <c r="I213">
        <v>459</v>
      </c>
      <c r="J213" s="2">
        <v>7344</v>
      </c>
      <c r="K213" t="s">
        <v>313</v>
      </c>
      <c r="L213" t="s">
        <v>315</v>
      </c>
    </row>
    <row r="214" spans="1:12" x14ac:dyDescent="0.25">
      <c r="A214" t="s">
        <v>173</v>
      </c>
      <c r="B214" t="s">
        <v>321</v>
      </c>
      <c r="C214" t="s">
        <v>340</v>
      </c>
      <c r="D214" t="s">
        <v>290</v>
      </c>
      <c r="E214" t="s">
        <v>299</v>
      </c>
      <c r="F214" t="s">
        <v>304</v>
      </c>
      <c r="G214" t="s">
        <v>310</v>
      </c>
      <c r="H214">
        <v>3</v>
      </c>
      <c r="I214">
        <v>1446</v>
      </c>
      <c r="J214" s="2">
        <v>4338</v>
      </c>
      <c r="K214" t="s">
        <v>312</v>
      </c>
      <c r="L214" t="s">
        <v>316</v>
      </c>
    </row>
    <row r="215" spans="1:12" x14ac:dyDescent="0.25">
      <c r="A215" t="s">
        <v>174</v>
      </c>
      <c r="B215" t="s">
        <v>318</v>
      </c>
      <c r="C215" t="s">
        <v>337</v>
      </c>
      <c r="D215" t="s">
        <v>291</v>
      </c>
      <c r="E215" t="s">
        <v>292</v>
      </c>
      <c r="F215" t="s">
        <v>300</v>
      </c>
      <c r="G215" t="s">
        <v>308</v>
      </c>
      <c r="H215">
        <v>6</v>
      </c>
      <c r="I215">
        <v>1484</v>
      </c>
      <c r="J215" s="2">
        <v>8904</v>
      </c>
      <c r="K215" t="s">
        <v>311</v>
      </c>
      <c r="L215" t="s">
        <v>316</v>
      </c>
    </row>
    <row r="216" spans="1:12" x14ac:dyDescent="0.25">
      <c r="A216" t="s">
        <v>175</v>
      </c>
      <c r="B216" t="s">
        <v>319</v>
      </c>
      <c r="C216" t="s">
        <v>338</v>
      </c>
      <c r="D216" t="s">
        <v>288</v>
      </c>
      <c r="E216" t="s">
        <v>297</v>
      </c>
      <c r="F216" t="s">
        <v>306</v>
      </c>
      <c r="G216" t="s">
        <v>309</v>
      </c>
      <c r="H216">
        <v>5</v>
      </c>
      <c r="I216">
        <v>534</v>
      </c>
      <c r="J216" s="2">
        <v>2670</v>
      </c>
      <c r="K216" t="s">
        <v>314</v>
      </c>
      <c r="L216" t="s">
        <v>315</v>
      </c>
    </row>
    <row r="217" spans="1:12" x14ac:dyDescent="0.25">
      <c r="A217" t="s">
        <v>88</v>
      </c>
      <c r="B217" t="s">
        <v>323</v>
      </c>
      <c r="C217" t="s">
        <v>342</v>
      </c>
      <c r="D217" t="s">
        <v>289</v>
      </c>
      <c r="E217" t="s">
        <v>298</v>
      </c>
      <c r="F217" t="s">
        <v>305</v>
      </c>
      <c r="G217" t="s">
        <v>310</v>
      </c>
      <c r="H217">
        <v>20</v>
      </c>
      <c r="I217">
        <v>226</v>
      </c>
      <c r="J217" s="2">
        <v>4520</v>
      </c>
      <c r="K217" t="s">
        <v>313</v>
      </c>
      <c r="L217" t="s">
        <v>316</v>
      </c>
    </row>
    <row r="218" spans="1:12" x14ac:dyDescent="0.25">
      <c r="A218" t="s">
        <v>176</v>
      </c>
      <c r="B218" t="s">
        <v>323</v>
      </c>
      <c r="C218" t="s">
        <v>342</v>
      </c>
      <c r="D218" t="s">
        <v>289</v>
      </c>
      <c r="E218" t="s">
        <v>294</v>
      </c>
      <c r="F218" t="s">
        <v>304</v>
      </c>
      <c r="G218" t="s">
        <v>310</v>
      </c>
      <c r="H218">
        <v>19</v>
      </c>
      <c r="I218">
        <v>201</v>
      </c>
      <c r="J218" s="2">
        <v>3819</v>
      </c>
      <c r="K218" t="s">
        <v>311</v>
      </c>
      <c r="L218" t="s">
        <v>316</v>
      </c>
    </row>
    <row r="219" spans="1:12" x14ac:dyDescent="0.25">
      <c r="A219" t="s">
        <v>127</v>
      </c>
      <c r="B219" t="s">
        <v>317</v>
      </c>
      <c r="C219" t="s">
        <v>336</v>
      </c>
      <c r="D219" t="s">
        <v>289</v>
      </c>
      <c r="E219" t="s">
        <v>299</v>
      </c>
      <c r="F219" t="s">
        <v>300</v>
      </c>
      <c r="G219" t="s">
        <v>308</v>
      </c>
      <c r="H219">
        <v>17</v>
      </c>
      <c r="I219">
        <v>755</v>
      </c>
      <c r="J219" s="2">
        <v>12835</v>
      </c>
      <c r="K219" t="s">
        <v>311</v>
      </c>
      <c r="L219" t="s">
        <v>315</v>
      </c>
    </row>
    <row r="220" spans="1:12" x14ac:dyDescent="0.25">
      <c r="A220" t="s">
        <v>143</v>
      </c>
      <c r="B220" t="s">
        <v>320</v>
      </c>
      <c r="C220" t="s">
        <v>339</v>
      </c>
      <c r="D220" t="s">
        <v>288</v>
      </c>
      <c r="E220" t="s">
        <v>296</v>
      </c>
      <c r="F220" t="s">
        <v>302</v>
      </c>
      <c r="G220" t="s">
        <v>310</v>
      </c>
      <c r="H220">
        <v>17</v>
      </c>
      <c r="I220">
        <v>363</v>
      </c>
      <c r="J220" s="2">
        <v>6171</v>
      </c>
      <c r="K220" t="s">
        <v>312</v>
      </c>
      <c r="L220" t="s">
        <v>315</v>
      </c>
    </row>
    <row r="221" spans="1:12" x14ac:dyDescent="0.25">
      <c r="A221" t="s">
        <v>157</v>
      </c>
      <c r="B221" t="s">
        <v>320</v>
      </c>
      <c r="C221" t="s">
        <v>339</v>
      </c>
      <c r="D221" t="s">
        <v>290</v>
      </c>
      <c r="E221" t="s">
        <v>295</v>
      </c>
      <c r="F221" t="s">
        <v>305</v>
      </c>
      <c r="G221" t="s">
        <v>310</v>
      </c>
      <c r="H221">
        <v>17</v>
      </c>
      <c r="I221">
        <v>631</v>
      </c>
      <c r="J221" s="2">
        <v>10727</v>
      </c>
      <c r="K221" t="s">
        <v>313</v>
      </c>
      <c r="L221" t="s">
        <v>316</v>
      </c>
    </row>
    <row r="222" spans="1:12" x14ac:dyDescent="0.25">
      <c r="A222" t="s">
        <v>177</v>
      </c>
      <c r="B222" t="s">
        <v>327</v>
      </c>
      <c r="C222" t="s">
        <v>345</v>
      </c>
      <c r="D222" t="s">
        <v>290</v>
      </c>
      <c r="E222" t="s">
        <v>292</v>
      </c>
      <c r="F222" t="s">
        <v>303</v>
      </c>
      <c r="G222" t="s">
        <v>309</v>
      </c>
      <c r="H222">
        <v>20</v>
      </c>
      <c r="I222">
        <v>1142</v>
      </c>
      <c r="J222" s="2">
        <v>22840</v>
      </c>
      <c r="K222" t="s">
        <v>313</v>
      </c>
      <c r="L222" t="s">
        <v>315</v>
      </c>
    </row>
    <row r="223" spans="1:12" x14ac:dyDescent="0.25">
      <c r="A223" t="s">
        <v>72</v>
      </c>
      <c r="B223" t="s">
        <v>324</v>
      </c>
      <c r="C223" t="s">
        <v>343</v>
      </c>
      <c r="D223" t="s">
        <v>290</v>
      </c>
      <c r="E223" t="s">
        <v>295</v>
      </c>
      <c r="F223" t="s">
        <v>307</v>
      </c>
      <c r="G223" t="s">
        <v>309</v>
      </c>
      <c r="H223">
        <v>19</v>
      </c>
      <c r="I223">
        <v>134</v>
      </c>
      <c r="J223" s="2">
        <v>2546</v>
      </c>
      <c r="K223" t="s">
        <v>313</v>
      </c>
      <c r="L223" t="s">
        <v>315</v>
      </c>
    </row>
    <row r="224" spans="1:12" x14ac:dyDescent="0.25">
      <c r="A224" t="s">
        <v>115</v>
      </c>
      <c r="B224" t="s">
        <v>325</v>
      </c>
      <c r="C224" t="s">
        <v>344</v>
      </c>
      <c r="D224" t="s">
        <v>290</v>
      </c>
      <c r="E224" t="s">
        <v>294</v>
      </c>
      <c r="F224" t="s">
        <v>303</v>
      </c>
      <c r="G224" t="s">
        <v>309</v>
      </c>
      <c r="H224">
        <v>20</v>
      </c>
      <c r="I224">
        <v>1358</v>
      </c>
      <c r="J224" s="2">
        <v>27160</v>
      </c>
      <c r="K224" t="s">
        <v>313</v>
      </c>
      <c r="L224" t="s">
        <v>316</v>
      </c>
    </row>
    <row r="225" spans="1:12" x14ac:dyDescent="0.25">
      <c r="A225" t="s">
        <v>178</v>
      </c>
      <c r="B225" t="s">
        <v>317</v>
      </c>
      <c r="C225" t="s">
        <v>336</v>
      </c>
      <c r="D225" t="s">
        <v>291</v>
      </c>
      <c r="E225" t="s">
        <v>299</v>
      </c>
      <c r="F225" t="s">
        <v>303</v>
      </c>
      <c r="G225" t="s">
        <v>309</v>
      </c>
      <c r="H225">
        <v>8</v>
      </c>
      <c r="I225">
        <v>1452</v>
      </c>
      <c r="J225" s="2">
        <v>11616</v>
      </c>
      <c r="K225" t="s">
        <v>314</v>
      </c>
      <c r="L225" t="s">
        <v>316</v>
      </c>
    </row>
    <row r="226" spans="1:12" x14ac:dyDescent="0.25">
      <c r="A226" t="s">
        <v>39</v>
      </c>
      <c r="B226" t="s">
        <v>322</v>
      </c>
      <c r="C226" t="s">
        <v>341</v>
      </c>
      <c r="D226" t="s">
        <v>288</v>
      </c>
      <c r="E226" t="s">
        <v>298</v>
      </c>
      <c r="F226" t="s">
        <v>300</v>
      </c>
      <c r="G226" t="s">
        <v>308</v>
      </c>
      <c r="H226">
        <v>15</v>
      </c>
      <c r="I226">
        <v>901</v>
      </c>
      <c r="J226" s="2">
        <v>13515</v>
      </c>
      <c r="K226" t="s">
        <v>314</v>
      </c>
      <c r="L226" t="s">
        <v>316</v>
      </c>
    </row>
    <row r="227" spans="1:12" x14ac:dyDescent="0.25">
      <c r="A227" t="s">
        <v>41</v>
      </c>
      <c r="B227" t="s">
        <v>327</v>
      </c>
      <c r="C227" t="s">
        <v>345</v>
      </c>
      <c r="D227" t="s">
        <v>290</v>
      </c>
      <c r="E227" t="s">
        <v>295</v>
      </c>
      <c r="F227" t="s">
        <v>305</v>
      </c>
      <c r="G227" t="s">
        <v>310</v>
      </c>
      <c r="H227">
        <v>11</v>
      </c>
      <c r="I227">
        <v>757</v>
      </c>
      <c r="J227" s="2">
        <v>8327</v>
      </c>
      <c r="K227" t="s">
        <v>314</v>
      </c>
      <c r="L227" t="s">
        <v>315</v>
      </c>
    </row>
    <row r="228" spans="1:12" x14ac:dyDescent="0.25">
      <c r="A228" t="s">
        <v>179</v>
      </c>
      <c r="B228" t="s">
        <v>323</v>
      </c>
      <c r="C228" t="s">
        <v>342</v>
      </c>
      <c r="D228" t="s">
        <v>291</v>
      </c>
      <c r="E228" t="s">
        <v>297</v>
      </c>
      <c r="F228" t="s">
        <v>300</v>
      </c>
      <c r="G228" t="s">
        <v>308</v>
      </c>
      <c r="H228">
        <v>15</v>
      </c>
      <c r="I228">
        <v>300</v>
      </c>
      <c r="J228" s="2">
        <v>4500</v>
      </c>
      <c r="K228" t="s">
        <v>312</v>
      </c>
      <c r="L228" t="s">
        <v>316</v>
      </c>
    </row>
    <row r="229" spans="1:12" x14ac:dyDescent="0.25">
      <c r="A229" t="s">
        <v>30</v>
      </c>
      <c r="B229" t="s">
        <v>326</v>
      </c>
      <c r="C229" t="s">
        <v>326</v>
      </c>
      <c r="D229" t="s">
        <v>288</v>
      </c>
      <c r="E229" t="s">
        <v>293</v>
      </c>
      <c r="F229" t="s">
        <v>307</v>
      </c>
      <c r="G229" t="s">
        <v>309</v>
      </c>
      <c r="H229">
        <v>10</v>
      </c>
      <c r="I229">
        <v>836</v>
      </c>
      <c r="J229" s="2">
        <v>8360</v>
      </c>
      <c r="K229" t="s">
        <v>314</v>
      </c>
      <c r="L229" t="s">
        <v>315</v>
      </c>
    </row>
    <row r="230" spans="1:12" x14ac:dyDescent="0.25">
      <c r="A230" t="s">
        <v>13</v>
      </c>
      <c r="B230" t="s">
        <v>320</v>
      </c>
      <c r="C230" t="s">
        <v>339</v>
      </c>
      <c r="D230" t="s">
        <v>291</v>
      </c>
      <c r="E230" t="s">
        <v>297</v>
      </c>
      <c r="F230" t="s">
        <v>305</v>
      </c>
      <c r="G230" t="s">
        <v>310</v>
      </c>
      <c r="H230">
        <v>6</v>
      </c>
      <c r="I230">
        <v>1070</v>
      </c>
      <c r="J230" s="2">
        <v>6420</v>
      </c>
      <c r="K230" t="s">
        <v>314</v>
      </c>
      <c r="L230" t="s">
        <v>316</v>
      </c>
    </row>
    <row r="231" spans="1:12" x14ac:dyDescent="0.25">
      <c r="A231" t="s">
        <v>180</v>
      </c>
      <c r="B231" t="s">
        <v>328</v>
      </c>
      <c r="C231" t="s">
        <v>346</v>
      </c>
      <c r="D231" t="s">
        <v>288</v>
      </c>
      <c r="E231" t="s">
        <v>296</v>
      </c>
      <c r="F231" t="s">
        <v>304</v>
      </c>
      <c r="G231" t="s">
        <v>310</v>
      </c>
      <c r="H231">
        <v>13</v>
      </c>
      <c r="I231">
        <v>1085</v>
      </c>
      <c r="J231" s="2">
        <v>14105</v>
      </c>
      <c r="K231" t="s">
        <v>314</v>
      </c>
      <c r="L231" t="s">
        <v>315</v>
      </c>
    </row>
    <row r="232" spans="1:12" x14ac:dyDescent="0.25">
      <c r="A232" t="s">
        <v>87</v>
      </c>
      <c r="B232" t="s">
        <v>327</v>
      </c>
      <c r="C232" t="s">
        <v>345</v>
      </c>
      <c r="D232" t="s">
        <v>288</v>
      </c>
      <c r="E232" t="s">
        <v>293</v>
      </c>
      <c r="F232" t="s">
        <v>305</v>
      </c>
      <c r="G232" t="s">
        <v>310</v>
      </c>
      <c r="H232">
        <v>10</v>
      </c>
      <c r="I232">
        <v>1063</v>
      </c>
      <c r="J232" s="2">
        <v>10630</v>
      </c>
      <c r="K232" t="s">
        <v>314</v>
      </c>
      <c r="L232" t="s">
        <v>316</v>
      </c>
    </row>
    <row r="233" spans="1:12" x14ac:dyDescent="0.25">
      <c r="A233" t="s">
        <v>181</v>
      </c>
      <c r="B233" t="s">
        <v>324</v>
      </c>
      <c r="C233" t="s">
        <v>343</v>
      </c>
      <c r="D233" t="s">
        <v>288</v>
      </c>
      <c r="E233" t="s">
        <v>294</v>
      </c>
      <c r="F233" t="s">
        <v>301</v>
      </c>
      <c r="G233" t="s">
        <v>309</v>
      </c>
      <c r="H233">
        <v>5</v>
      </c>
      <c r="I233">
        <v>591</v>
      </c>
      <c r="J233" s="2">
        <v>2955</v>
      </c>
      <c r="K233" t="s">
        <v>312</v>
      </c>
      <c r="L233" t="s">
        <v>316</v>
      </c>
    </row>
    <row r="234" spans="1:12" x14ac:dyDescent="0.25">
      <c r="A234" t="s">
        <v>182</v>
      </c>
      <c r="B234" t="s">
        <v>323</v>
      </c>
      <c r="C234" t="s">
        <v>342</v>
      </c>
      <c r="D234" t="s">
        <v>289</v>
      </c>
      <c r="E234" t="s">
        <v>293</v>
      </c>
      <c r="F234" t="s">
        <v>301</v>
      </c>
      <c r="G234" t="s">
        <v>309</v>
      </c>
      <c r="H234">
        <v>19</v>
      </c>
      <c r="I234">
        <v>1200</v>
      </c>
      <c r="J234" s="2">
        <v>22800</v>
      </c>
      <c r="K234" t="s">
        <v>311</v>
      </c>
      <c r="L234" t="s">
        <v>316</v>
      </c>
    </row>
    <row r="235" spans="1:12" x14ac:dyDescent="0.25">
      <c r="A235" t="s">
        <v>128</v>
      </c>
      <c r="B235" t="s">
        <v>324</v>
      </c>
      <c r="C235" t="s">
        <v>343</v>
      </c>
      <c r="D235" t="s">
        <v>288</v>
      </c>
      <c r="E235" t="s">
        <v>294</v>
      </c>
      <c r="F235" t="s">
        <v>303</v>
      </c>
      <c r="G235" t="s">
        <v>309</v>
      </c>
      <c r="H235">
        <v>17</v>
      </c>
      <c r="I235">
        <v>972</v>
      </c>
      <c r="J235" s="2">
        <v>16524</v>
      </c>
      <c r="K235" t="s">
        <v>312</v>
      </c>
      <c r="L235" t="s">
        <v>315</v>
      </c>
    </row>
    <row r="236" spans="1:12" x14ac:dyDescent="0.25">
      <c r="A236" t="s">
        <v>49</v>
      </c>
      <c r="B236" t="s">
        <v>320</v>
      </c>
      <c r="C236" t="s">
        <v>339</v>
      </c>
      <c r="D236" t="s">
        <v>289</v>
      </c>
      <c r="E236" t="s">
        <v>295</v>
      </c>
      <c r="F236" t="s">
        <v>300</v>
      </c>
      <c r="G236" t="s">
        <v>308</v>
      </c>
      <c r="H236">
        <v>11</v>
      </c>
      <c r="I236">
        <v>1192</v>
      </c>
      <c r="J236" s="2">
        <v>13112</v>
      </c>
      <c r="K236" t="s">
        <v>312</v>
      </c>
      <c r="L236" t="s">
        <v>315</v>
      </c>
    </row>
    <row r="237" spans="1:12" x14ac:dyDescent="0.25">
      <c r="A237" t="s">
        <v>62</v>
      </c>
      <c r="B237" t="s">
        <v>327</v>
      </c>
      <c r="C237" t="s">
        <v>345</v>
      </c>
      <c r="D237" t="s">
        <v>288</v>
      </c>
      <c r="E237" t="s">
        <v>293</v>
      </c>
      <c r="F237" t="s">
        <v>302</v>
      </c>
      <c r="G237" t="s">
        <v>310</v>
      </c>
      <c r="H237">
        <v>2</v>
      </c>
      <c r="I237">
        <v>330</v>
      </c>
      <c r="J237" s="2">
        <v>660</v>
      </c>
      <c r="K237" t="s">
        <v>312</v>
      </c>
      <c r="L237" t="s">
        <v>316</v>
      </c>
    </row>
    <row r="238" spans="1:12" x14ac:dyDescent="0.25">
      <c r="A238" t="s">
        <v>168</v>
      </c>
      <c r="B238" t="s">
        <v>319</v>
      </c>
      <c r="C238" t="s">
        <v>338</v>
      </c>
      <c r="D238" t="s">
        <v>290</v>
      </c>
      <c r="E238" t="s">
        <v>298</v>
      </c>
      <c r="F238" t="s">
        <v>304</v>
      </c>
      <c r="G238" t="s">
        <v>310</v>
      </c>
      <c r="H238">
        <v>11</v>
      </c>
      <c r="I238">
        <v>1305</v>
      </c>
      <c r="J238" s="2">
        <v>14355</v>
      </c>
      <c r="K238" t="s">
        <v>312</v>
      </c>
      <c r="L238" t="s">
        <v>315</v>
      </c>
    </row>
    <row r="239" spans="1:12" x14ac:dyDescent="0.25">
      <c r="A239" t="s">
        <v>183</v>
      </c>
      <c r="B239" t="s">
        <v>323</v>
      </c>
      <c r="C239" t="s">
        <v>342</v>
      </c>
      <c r="D239" t="s">
        <v>291</v>
      </c>
      <c r="E239" t="s">
        <v>299</v>
      </c>
      <c r="F239" t="s">
        <v>303</v>
      </c>
      <c r="G239" t="s">
        <v>309</v>
      </c>
      <c r="H239">
        <v>19</v>
      </c>
      <c r="I239">
        <v>663</v>
      </c>
      <c r="J239" s="2">
        <v>12597</v>
      </c>
      <c r="K239" t="s">
        <v>314</v>
      </c>
      <c r="L239" t="s">
        <v>315</v>
      </c>
    </row>
    <row r="240" spans="1:12" x14ac:dyDescent="0.25">
      <c r="A240" t="s">
        <v>77</v>
      </c>
      <c r="B240" t="s">
        <v>323</v>
      </c>
      <c r="C240" t="s">
        <v>342</v>
      </c>
      <c r="D240" t="s">
        <v>288</v>
      </c>
      <c r="E240" t="s">
        <v>294</v>
      </c>
      <c r="F240" t="s">
        <v>305</v>
      </c>
      <c r="G240" t="s">
        <v>310</v>
      </c>
      <c r="H240">
        <v>19</v>
      </c>
      <c r="I240">
        <v>680</v>
      </c>
      <c r="J240" s="2">
        <v>12920</v>
      </c>
      <c r="K240" t="s">
        <v>313</v>
      </c>
      <c r="L240" t="s">
        <v>316</v>
      </c>
    </row>
    <row r="241" spans="1:12" x14ac:dyDescent="0.25">
      <c r="A241" t="s">
        <v>184</v>
      </c>
      <c r="B241" t="s">
        <v>326</v>
      </c>
      <c r="C241" t="s">
        <v>326</v>
      </c>
      <c r="D241" t="s">
        <v>288</v>
      </c>
      <c r="E241" t="s">
        <v>299</v>
      </c>
      <c r="F241" t="s">
        <v>306</v>
      </c>
      <c r="G241" t="s">
        <v>309</v>
      </c>
      <c r="H241">
        <v>6</v>
      </c>
      <c r="I241">
        <v>1123</v>
      </c>
      <c r="J241" s="2">
        <v>6738</v>
      </c>
      <c r="K241" t="s">
        <v>314</v>
      </c>
      <c r="L241" t="s">
        <v>315</v>
      </c>
    </row>
    <row r="242" spans="1:12" x14ac:dyDescent="0.25">
      <c r="A242" t="s">
        <v>185</v>
      </c>
      <c r="B242" t="s">
        <v>318</v>
      </c>
      <c r="C242" t="s">
        <v>337</v>
      </c>
      <c r="D242" t="s">
        <v>288</v>
      </c>
      <c r="E242" t="s">
        <v>296</v>
      </c>
      <c r="F242" t="s">
        <v>306</v>
      </c>
      <c r="G242" t="s">
        <v>309</v>
      </c>
      <c r="H242">
        <v>7</v>
      </c>
      <c r="I242">
        <v>88</v>
      </c>
      <c r="J242" s="2">
        <v>616</v>
      </c>
      <c r="K242" t="s">
        <v>314</v>
      </c>
      <c r="L242" t="s">
        <v>316</v>
      </c>
    </row>
    <row r="243" spans="1:12" x14ac:dyDescent="0.25">
      <c r="A243" t="s">
        <v>139</v>
      </c>
      <c r="B243" t="s">
        <v>322</v>
      </c>
      <c r="C243" t="s">
        <v>341</v>
      </c>
      <c r="D243" t="s">
        <v>289</v>
      </c>
      <c r="E243" t="s">
        <v>297</v>
      </c>
      <c r="F243" t="s">
        <v>307</v>
      </c>
      <c r="G243" t="s">
        <v>309</v>
      </c>
      <c r="H243">
        <v>14</v>
      </c>
      <c r="I243">
        <v>1077</v>
      </c>
      <c r="J243" s="2">
        <v>15078</v>
      </c>
      <c r="K243" t="s">
        <v>314</v>
      </c>
      <c r="L243" t="s">
        <v>315</v>
      </c>
    </row>
    <row r="244" spans="1:12" x14ac:dyDescent="0.25">
      <c r="A244" t="s">
        <v>186</v>
      </c>
      <c r="B244" t="s">
        <v>318</v>
      </c>
      <c r="C244" t="s">
        <v>337</v>
      </c>
      <c r="D244" t="s">
        <v>290</v>
      </c>
      <c r="E244" t="s">
        <v>295</v>
      </c>
      <c r="F244" t="s">
        <v>307</v>
      </c>
      <c r="G244" t="s">
        <v>309</v>
      </c>
      <c r="H244">
        <v>16</v>
      </c>
      <c r="I244">
        <v>1126</v>
      </c>
      <c r="J244" s="2">
        <v>18016</v>
      </c>
      <c r="K244" t="s">
        <v>314</v>
      </c>
      <c r="L244" t="s">
        <v>316</v>
      </c>
    </row>
    <row r="245" spans="1:12" x14ac:dyDescent="0.25">
      <c r="A245" t="s">
        <v>187</v>
      </c>
      <c r="B245" t="s">
        <v>320</v>
      </c>
      <c r="C245" t="s">
        <v>339</v>
      </c>
      <c r="D245" t="s">
        <v>291</v>
      </c>
      <c r="E245" t="s">
        <v>295</v>
      </c>
      <c r="F245" t="s">
        <v>304</v>
      </c>
      <c r="G245" t="s">
        <v>310</v>
      </c>
      <c r="H245">
        <v>9</v>
      </c>
      <c r="I245">
        <v>1299</v>
      </c>
      <c r="J245" s="2">
        <v>11691</v>
      </c>
      <c r="K245" t="s">
        <v>314</v>
      </c>
      <c r="L245" t="s">
        <v>315</v>
      </c>
    </row>
    <row r="246" spans="1:12" x14ac:dyDescent="0.25">
      <c r="A246" t="s">
        <v>30</v>
      </c>
      <c r="B246" t="s">
        <v>326</v>
      </c>
      <c r="C246" t="s">
        <v>326</v>
      </c>
      <c r="D246" t="s">
        <v>291</v>
      </c>
      <c r="E246" t="s">
        <v>297</v>
      </c>
      <c r="F246" t="s">
        <v>303</v>
      </c>
      <c r="G246" t="s">
        <v>309</v>
      </c>
      <c r="H246">
        <v>10</v>
      </c>
      <c r="I246">
        <v>641</v>
      </c>
      <c r="J246" s="2">
        <v>6410</v>
      </c>
      <c r="K246" t="s">
        <v>311</v>
      </c>
      <c r="L246" t="s">
        <v>316</v>
      </c>
    </row>
    <row r="247" spans="1:12" x14ac:dyDescent="0.25">
      <c r="A247" t="s">
        <v>188</v>
      </c>
      <c r="B247" t="s">
        <v>328</v>
      </c>
      <c r="C247" t="s">
        <v>346</v>
      </c>
      <c r="D247" t="s">
        <v>291</v>
      </c>
      <c r="E247" t="s">
        <v>292</v>
      </c>
      <c r="F247" t="s">
        <v>304</v>
      </c>
      <c r="G247" t="s">
        <v>310</v>
      </c>
      <c r="H247">
        <v>10</v>
      </c>
      <c r="I247">
        <v>299</v>
      </c>
      <c r="J247" s="2">
        <v>2990</v>
      </c>
      <c r="K247" t="s">
        <v>314</v>
      </c>
      <c r="L247" t="s">
        <v>316</v>
      </c>
    </row>
    <row r="248" spans="1:12" x14ac:dyDescent="0.25">
      <c r="A248" t="s">
        <v>164</v>
      </c>
      <c r="B248" t="s">
        <v>328</v>
      </c>
      <c r="C248" t="s">
        <v>346</v>
      </c>
      <c r="D248" t="s">
        <v>291</v>
      </c>
      <c r="E248" t="s">
        <v>293</v>
      </c>
      <c r="F248" t="s">
        <v>307</v>
      </c>
      <c r="G248" t="s">
        <v>309</v>
      </c>
      <c r="H248">
        <v>10</v>
      </c>
      <c r="I248">
        <v>211</v>
      </c>
      <c r="J248" s="2">
        <v>2110</v>
      </c>
      <c r="K248" t="s">
        <v>312</v>
      </c>
      <c r="L248" t="s">
        <v>316</v>
      </c>
    </row>
    <row r="249" spans="1:12" x14ac:dyDescent="0.25">
      <c r="A249" t="s">
        <v>189</v>
      </c>
      <c r="B249" t="s">
        <v>318</v>
      </c>
      <c r="C249" t="s">
        <v>337</v>
      </c>
      <c r="D249" t="s">
        <v>289</v>
      </c>
      <c r="E249" t="s">
        <v>297</v>
      </c>
      <c r="F249" t="s">
        <v>303</v>
      </c>
      <c r="G249" t="s">
        <v>309</v>
      </c>
      <c r="H249">
        <v>7</v>
      </c>
      <c r="I249">
        <v>1153</v>
      </c>
      <c r="J249" s="2">
        <v>8071</v>
      </c>
      <c r="K249" t="s">
        <v>312</v>
      </c>
      <c r="L249" t="s">
        <v>316</v>
      </c>
    </row>
    <row r="250" spans="1:12" x14ac:dyDescent="0.25">
      <c r="A250" t="s">
        <v>190</v>
      </c>
      <c r="B250" t="s">
        <v>320</v>
      </c>
      <c r="C250" t="s">
        <v>339</v>
      </c>
      <c r="D250" t="s">
        <v>290</v>
      </c>
      <c r="E250" t="s">
        <v>297</v>
      </c>
      <c r="F250" t="s">
        <v>300</v>
      </c>
      <c r="G250" t="s">
        <v>308</v>
      </c>
      <c r="H250">
        <v>2</v>
      </c>
      <c r="I250">
        <v>1421</v>
      </c>
      <c r="J250" s="2">
        <v>2842</v>
      </c>
      <c r="K250" t="s">
        <v>311</v>
      </c>
      <c r="L250" t="s">
        <v>315</v>
      </c>
    </row>
    <row r="251" spans="1:12" x14ac:dyDescent="0.25">
      <c r="A251" t="s">
        <v>47</v>
      </c>
      <c r="B251" t="s">
        <v>325</v>
      </c>
      <c r="C251" t="s">
        <v>344</v>
      </c>
      <c r="D251" t="s">
        <v>289</v>
      </c>
      <c r="E251" t="s">
        <v>295</v>
      </c>
      <c r="F251" t="s">
        <v>300</v>
      </c>
      <c r="G251" t="s">
        <v>308</v>
      </c>
      <c r="H251">
        <v>16</v>
      </c>
      <c r="I251">
        <v>255</v>
      </c>
      <c r="J251" s="2">
        <v>4080</v>
      </c>
      <c r="K251" t="s">
        <v>311</v>
      </c>
      <c r="L251" t="s">
        <v>315</v>
      </c>
    </row>
    <row r="252" spans="1:12" x14ac:dyDescent="0.25">
      <c r="A252" t="s">
        <v>86</v>
      </c>
      <c r="B252" t="s">
        <v>324</v>
      </c>
      <c r="C252" t="s">
        <v>343</v>
      </c>
      <c r="D252" t="s">
        <v>289</v>
      </c>
      <c r="E252" t="s">
        <v>299</v>
      </c>
      <c r="F252" t="s">
        <v>307</v>
      </c>
      <c r="G252" t="s">
        <v>309</v>
      </c>
      <c r="H252">
        <v>16</v>
      </c>
      <c r="I252">
        <v>1382</v>
      </c>
      <c r="J252" s="2">
        <v>22112</v>
      </c>
      <c r="K252" t="s">
        <v>311</v>
      </c>
      <c r="L252" t="s">
        <v>316</v>
      </c>
    </row>
    <row r="253" spans="1:12" x14ac:dyDescent="0.25">
      <c r="A253" t="s">
        <v>102</v>
      </c>
      <c r="B253" t="s">
        <v>328</v>
      </c>
      <c r="C253" t="s">
        <v>346</v>
      </c>
      <c r="D253" t="s">
        <v>288</v>
      </c>
      <c r="E253" t="s">
        <v>296</v>
      </c>
      <c r="F253" t="s">
        <v>303</v>
      </c>
      <c r="G253" t="s">
        <v>309</v>
      </c>
      <c r="H253">
        <v>19</v>
      </c>
      <c r="I253">
        <v>525</v>
      </c>
      <c r="J253" s="2">
        <v>9975</v>
      </c>
      <c r="K253" t="s">
        <v>313</v>
      </c>
      <c r="L253" t="s">
        <v>315</v>
      </c>
    </row>
    <row r="254" spans="1:12" x14ac:dyDescent="0.25">
      <c r="A254" t="s">
        <v>191</v>
      </c>
      <c r="B254" t="s">
        <v>322</v>
      </c>
      <c r="C254" t="s">
        <v>341</v>
      </c>
      <c r="D254" t="s">
        <v>288</v>
      </c>
      <c r="E254" t="s">
        <v>294</v>
      </c>
      <c r="F254" t="s">
        <v>307</v>
      </c>
      <c r="G254" t="s">
        <v>309</v>
      </c>
      <c r="H254">
        <v>16</v>
      </c>
      <c r="I254">
        <v>431</v>
      </c>
      <c r="J254" s="2">
        <v>6896</v>
      </c>
      <c r="K254" t="s">
        <v>312</v>
      </c>
      <c r="L254" t="s">
        <v>315</v>
      </c>
    </row>
    <row r="255" spans="1:12" x14ac:dyDescent="0.25">
      <c r="A255" t="s">
        <v>120</v>
      </c>
      <c r="B255" t="s">
        <v>325</v>
      </c>
      <c r="C255" t="s">
        <v>344</v>
      </c>
      <c r="D255" t="s">
        <v>288</v>
      </c>
      <c r="E255" t="s">
        <v>295</v>
      </c>
      <c r="F255" t="s">
        <v>303</v>
      </c>
      <c r="G255" t="s">
        <v>309</v>
      </c>
      <c r="H255">
        <v>10</v>
      </c>
      <c r="I255">
        <v>980</v>
      </c>
      <c r="J255" s="2">
        <v>9800</v>
      </c>
      <c r="K255" t="s">
        <v>314</v>
      </c>
      <c r="L255" t="s">
        <v>315</v>
      </c>
    </row>
    <row r="256" spans="1:12" x14ac:dyDescent="0.25">
      <c r="A256" t="s">
        <v>12</v>
      </c>
      <c r="B256" t="s">
        <v>319</v>
      </c>
      <c r="C256" t="s">
        <v>338</v>
      </c>
      <c r="D256" t="s">
        <v>291</v>
      </c>
      <c r="E256" t="s">
        <v>297</v>
      </c>
      <c r="F256" t="s">
        <v>304</v>
      </c>
      <c r="G256" t="s">
        <v>310</v>
      </c>
      <c r="H256">
        <v>4</v>
      </c>
      <c r="I256">
        <v>727</v>
      </c>
      <c r="J256" s="2">
        <v>2908</v>
      </c>
      <c r="K256" t="s">
        <v>311</v>
      </c>
      <c r="L256" t="s">
        <v>316</v>
      </c>
    </row>
    <row r="257" spans="1:12" x14ac:dyDescent="0.25">
      <c r="A257" t="s">
        <v>107</v>
      </c>
      <c r="B257" t="s">
        <v>317</v>
      </c>
      <c r="C257" t="s">
        <v>336</v>
      </c>
      <c r="D257" t="s">
        <v>290</v>
      </c>
      <c r="E257" t="s">
        <v>293</v>
      </c>
      <c r="F257" t="s">
        <v>303</v>
      </c>
      <c r="G257" t="s">
        <v>309</v>
      </c>
      <c r="H257">
        <v>11</v>
      </c>
      <c r="I257">
        <v>654</v>
      </c>
      <c r="J257" s="2">
        <v>7194</v>
      </c>
      <c r="K257" t="s">
        <v>311</v>
      </c>
      <c r="L257" t="s">
        <v>315</v>
      </c>
    </row>
    <row r="258" spans="1:12" x14ac:dyDescent="0.25">
      <c r="A258" t="s">
        <v>192</v>
      </c>
      <c r="B258" t="s">
        <v>317</v>
      </c>
      <c r="C258" t="s">
        <v>336</v>
      </c>
      <c r="D258" t="s">
        <v>289</v>
      </c>
      <c r="E258" t="s">
        <v>295</v>
      </c>
      <c r="F258" t="s">
        <v>302</v>
      </c>
      <c r="G258" t="s">
        <v>310</v>
      </c>
      <c r="H258">
        <v>3</v>
      </c>
      <c r="I258">
        <v>870</v>
      </c>
      <c r="J258" s="2">
        <v>2610</v>
      </c>
      <c r="K258" t="s">
        <v>313</v>
      </c>
      <c r="L258" t="s">
        <v>315</v>
      </c>
    </row>
    <row r="259" spans="1:12" x14ac:dyDescent="0.25">
      <c r="A259" t="s">
        <v>193</v>
      </c>
      <c r="B259" t="s">
        <v>320</v>
      </c>
      <c r="C259" t="s">
        <v>339</v>
      </c>
      <c r="D259" t="s">
        <v>291</v>
      </c>
      <c r="E259" t="s">
        <v>297</v>
      </c>
      <c r="F259" t="s">
        <v>304</v>
      </c>
      <c r="G259" t="s">
        <v>310</v>
      </c>
      <c r="H259">
        <v>1</v>
      </c>
      <c r="I259">
        <v>584</v>
      </c>
      <c r="J259" s="2">
        <v>584</v>
      </c>
      <c r="K259" t="s">
        <v>314</v>
      </c>
      <c r="L259" t="s">
        <v>315</v>
      </c>
    </row>
    <row r="260" spans="1:12" x14ac:dyDescent="0.25">
      <c r="A260" t="s">
        <v>194</v>
      </c>
      <c r="B260" t="s">
        <v>322</v>
      </c>
      <c r="C260" t="s">
        <v>341</v>
      </c>
      <c r="D260" t="s">
        <v>291</v>
      </c>
      <c r="E260" t="s">
        <v>292</v>
      </c>
      <c r="F260" t="s">
        <v>303</v>
      </c>
      <c r="G260" t="s">
        <v>309</v>
      </c>
      <c r="H260">
        <v>19</v>
      </c>
      <c r="I260">
        <v>1223</v>
      </c>
      <c r="J260" s="2">
        <v>23237</v>
      </c>
      <c r="K260" t="s">
        <v>313</v>
      </c>
      <c r="L260" t="s">
        <v>316</v>
      </c>
    </row>
    <row r="261" spans="1:12" x14ac:dyDescent="0.25">
      <c r="A261" t="s">
        <v>195</v>
      </c>
      <c r="B261" t="s">
        <v>317</v>
      </c>
      <c r="C261" t="s">
        <v>336</v>
      </c>
      <c r="D261" t="s">
        <v>290</v>
      </c>
      <c r="E261" t="s">
        <v>293</v>
      </c>
      <c r="F261" t="s">
        <v>305</v>
      </c>
      <c r="G261" t="s">
        <v>310</v>
      </c>
      <c r="H261">
        <v>4</v>
      </c>
      <c r="I261">
        <v>1003</v>
      </c>
      <c r="J261" s="2">
        <v>4012</v>
      </c>
      <c r="K261" t="s">
        <v>312</v>
      </c>
      <c r="L261" t="s">
        <v>315</v>
      </c>
    </row>
    <row r="262" spans="1:12" x14ac:dyDescent="0.25">
      <c r="A262" t="s">
        <v>196</v>
      </c>
      <c r="B262" t="s">
        <v>323</v>
      </c>
      <c r="C262" t="s">
        <v>342</v>
      </c>
      <c r="D262" t="s">
        <v>288</v>
      </c>
      <c r="E262" t="s">
        <v>292</v>
      </c>
      <c r="F262" t="s">
        <v>303</v>
      </c>
      <c r="G262" t="s">
        <v>309</v>
      </c>
      <c r="H262">
        <v>12</v>
      </c>
      <c r="I262">
        <v>1308</v>
      </c>
      <c r="J262" s="2">
        <v>15696</v>
      </c>
      <c r="K262" t="s">
        <v>311</v>
      </c>
      <c r="L262" t="s">
        <v>315</v>
      </c>
    </row>
    <row r="263" spans="1:12" x14ac:dyDescent="0.25">
      <c r="A263" t="s">
        <v>197</v>
      </c>
      <c r="B263" t="s">
        <v>320</v>
      </c>
      <c r="C263" t="s">
        <v>339</v>
      </c>
      <c r="D263" t="s">
        <v>290</v>
      </c>
      <c r="E263" t="s">
        <v>299</v>
      </c>
      <c r="F263" t="s">
        <v>304</v>
      </c>
      <c r="G263" t="s">
        <v>310</v>
      </c>
      <c r="H263">
        <v>20</v>
      </c>
      <c r="I263">
        <v>815</v>
      </c>
      <c r="J263" s="2">
        <v>16300</v>
      </c>
      <c r="K263" t="s">
        <v>314</v>
      </c>
      <c r="L263" t="s">
        <v>316</v>
      </c>
    </row>
    <row r="264" spans="1:12" x14ac:dyDescent="0.25">
      <c r="A264" t="s">
        <v>43</v>
      </c>
      <c r="B264" t="s">
        <v>324</v>
      </c>
      <c r="C264" t="s">
        <v>343</v>
      </c>
      <c r="D264" t="s">
        <v>290</v>
      </c>
      <c r="E264" t="s">
        <v>296</v>
      </c>
      <c r="F264" t="s">
        <v>306</v>
      </c>
      <c r="G264" t="s">
        <v>309</v>
      </c>
      <c r="H264">
        <v>17</v>
      </c>
      <c r="I264">
        <v>964</v>
      </c>
      <c r="J264" s="2">
        <v>16388</v>
      </c>
      <c r="K264" t="s">
        <v>312</v>
      </c>
      <c r="L264" t="s">
        <v>315</v>
      </c>
    </row>
    <row r="265" spans="1:12" x14ac:dyDescent="0.25">
      <c r="A265" t="s">
        <v>148</v>
      </c>
      <c r="B265" t="s">
        <v>324</v>
      </c>
      <c r="C265" t="s">
        <v>343</v>
      </c>
      <c r="D265" t="s">
        <v>288</v>
      </c>
      <c r="E265" t="s">
        <v>297</v>
      </c>
      <c r="F265" t="s">
        <v>300</v>
      </c>
      <c r="G265" t="s">
        <v>308</v>
      </c>
      <c r="H265">
        <v>19</v>
      </c>
      <c r="I265">
        <v>1149</v>
      </c>
      <c r="J265" s="2">
        <v>21831</v>
      </c>
      <c r="K265" t="s">
        <v>311</v>
      </c>
      <c r="L265" t="s">
        <v>315</v>
      </c>
    </row>
    <row r="266" spans="1:12" x14ac:dyDescent="0.25">
      <c r="A266" t="s">
        <v>58</v>
      </c>
      <c r="B266" t="s">
        <v>328</v>
      </c>
      <c r="C266" t="s">
        <v>346</v>
      </c>
      <c r="D266" t="s">
        <v>288</v>
      </c>
      <c r="E266" t="s">
        <v>297</v>
      </c>
      <c r="F266" t="s">
        <v>304</v>
      </c>
      <c r="G266" t="s">
        <v>310</v>
      </c>
      <c r="H266">
        <v>19</v>
      </c>
      <c r="I266">
        <v>1051</v>
      </c>
      <c r="J266" s="2">
        <v>19969</v>
      </c>
      <c r="K266" t="s">
        <v>313</v>
      </c>
      <c r="L266" t="s">
        <v>316</v>
      </c>
    </row>
    <row r="267" spans="1:12" x14ac:dyDescent="0.25">
      <c r="A267" t="s">
        <v>198</v>
      </c>
      <c r="B267" t="s">
        <v>325</v>
      </c>
      <c r="C267" t="s">
        <v>344</v>
      </c>
      <c r="D267" t="s">
        <v>290</v>
      </c>
      <c r="E267" t="s">
        <v>294</v>
      </c>
      <c r="F267" t="s">
        <v>304</v>
      </c>
      <c r="G267" t="s">
        <v>310</v>
      </c>
      <c r="H267">
        <v>15</v>
      </c>
      <c r="I267">
        <v>1204</v>
      </c>
      <c r="J267" s="2">
        <v>18060</v>
      </c>
      <c r="K267" t="s">
        <v>313</v>
      </c>
      <c r="L267" t="s">
        <v>316</v>
      </c>
    </row>
    <row r="268" spans="1:12" x14ac:dyDescent="0.25">
      <c r="A268" t="s">
        <v>199</v>
      </c>
      <c r="B268" t="s">
        <v>318</v>
      </c>
      <c r="C268" t="s">
        <v>337</v>
      </c>
      <c r="D268" t="s">
        <v>288</v>
      </c>
      <c r="E268" t="s">
        <v>294</v>
      </c>
      <c r="F268" t="s">
        <v>303</v>
      </c>
      <c r="G268" t="s">
        <v>309</v>
      </c>
      <c r="H268">
        <v>9</v>
      </c>
      <c r="I268">
        <v>56</v>
      </c>
      <c r="J268" s="2">
        <v>504</v>
      </c>
      <c r="K268" t="s">
        <v>311</v>
      </c>
      <c r="L268" t="s">
        <v>315</v>
      </c>
    </row>
    <row r="269" spans="1:12" x14ac:dyDescent="0.25">
      <c r="A269" t="s">
        <v>115</v>
      </c>
      <c r="B269" t="s">
        <v>325</v>
      </c>
      <c r="C269" t="s">
        <v>344</v>
      </c>
      <c r="D269" t="s">
        <v>291</v>
      </c>
      <c r="E269" t="s">
        <v>296</v>
      </c>
      <c r="F269" t="s">
        <v>302</v>
      </c>
      <c r="G269" t="s">
        <v>310</v>
      </c>
      <c r="H269">
        <v>18</v>
      </c>
      <c r="I269">
        <v>173</v>
      </c>
      <c r="J269" s="2">
        <v>3114</v>
      </c>
      <c r="K269" t="s">
        <v>313</v>
      </c>
      <c r="L269" t="s">
        <v>316</v>
      </c>
    </row>
    <row r="270" spans="1:12" x14ac:dyDescent="0.25">
      <c r="A270" t="s">
        <v>200</v>
      </c>
      <c r="B270" t="s">
        <v>325</v>
      </c>
      <c r="C270" t="s">
        <v>344</v>
      </c>
      <c r="D270" t="s">
        <v>289</v>
      </c>
      <c r="E270" t="s">
        <v>298</v>
      </c>
      <c r="F270" t="s">
        <v>303</v>
      </c>
      <c r="G270" t="s">
        <v>309</v>
      </c>
      <c r="H270">
        <v>5</v>
      </c>
      <c r="I270">
        <v>1363</v>
      </c>
      <c r="J270" s="2">
        <v>6815</v>
      </c>
      <c r="K270" t="s">
        <v>314</v>
      </c>
      <c r="L270" t="s">
        <v>316</v>
      </c>
    </row>
    <row r="271" spans="1:12" x14ac:dyDescent="0.25">
      <c r="A271" t="s">
        <v>23</v>
      </c>
      <c r="B271" t="s">
        <v>323</v>
      </c>
      <c r="C271" t="s">
        <v>342</v>
      </c>
      <c r="D271" t="s">
        <v>289</v>
      </c>
      <c r="E271" t="s">
        <v>294</v>
      </c>
      <c r="F271" t="s">
        <v>304</v>
      </c>
      <c r="G271" t="s">
        <v>310</v>
      </c>
      <c r="H271">
        <v>3</v>
      </c>
      <c r="I271">
        <v>1448</v>
      </c>
      <c r="J271" s="2">
        <v>4344</v>
      </c>
      <c r="K271" t="s">
        <v>311</v>
      </c>
      <c r="L271" t="s">
        <v>316</v>
      </c>
    </row>
    <row r="272" spans="1:12" x14ac:dyDescent="0.25">
      <c r="A272" t="s">
        <v>201</v>
      </c>
      <c r="B272" t="s">
        <v>320</v>
      </c>
      <c r="C272" t="s">
        <v>339</v>
      </c>
      <c r="D272" t="s">
        <v>289</v>
      </c>
      <c r="E272" t="s">
        <v>298</v>
      </c>
      <c r="F272" t="s">
        <v>307</v>
      </c>
      <c r="G272" t="s">
        <v>309</v>
      </c>
      <c r="H272">
        <v>8</v>
      </c>
      <c r="I272">
        <v>57</v>
      </c>
      <c r="J272" s="2">
        <v>456</v>
      </c>
      <c r="K272" t="s">
        <v>313</v>
      </c>
      <c r="L272" t="s">
        <v>316</v>
      </c>
    </row>
    <row r="273" spans="1:12" x14ac:dyDescent="0.25">
      <c r="A273" t="s">
        <v>202</v>
      </c>
      <c r="B273" t="s">
        <v>322</v>
      </c>
      <c r="C273" t="s">
        <v>341</v>
      </c>
      <c r="D273" t="s">
        <v>289</v>
      </c>
      <c r="E273" t="s">
        <v>297</v>
      </c>
      <c r="F273" t="s">
        <v>302</v>
      </c>
      <c r="G273" t="s">
        <v>310</v>
      </c>
      <c r="H273">
        <v>8</v>
      </c>
      <c r="I273">
        <v>993</v>
      </c>
      <c r="J273" s="2">
        <v>7944</v>
      </c>
      <c r="K273" t="s">
        <v>312</v>
      </c>
      <c r="L273" t="s">
        <v>315</v>
      </c>
    </row>
    <row r="274" spans="1:12" x14ac:dyDescent="0.25">
      <c r="A274" t="s">
        <v>203</v>
      </c>
      <c r="B274" t="s">
        <v>326</v>
      </c>
      <c r="C274" t="s">
        <v>326</v>
      </c>
      <c r="D274" t="s">
        <v>288</v>
      </c>
      <c r="E274" t="s">
        <v>293</v>
      </c>
      <c r="F274" t="s">
        <v>306</v>
      </c>
      <c r="G274" t="s">
        <v>309</v>
      </c>
      <c r="H274">
        <v>14</v>
      </c>
      <c r="I274">
        <v>1309</v>
      </c>
      <c r="J274" s="2">
        <v>18326</v>
      </c>
      <c r="K274" t="s">
        <v>313</v>
      </c>
      <c r="L274" t="s">
        <v>315</v>
      </c>
    </row>
    <row r="275" spans="1:12" x14ac:dyDescent="0.25">
      <c r="A275" t="s">
        <v>204</v>
      </c>
      <c r="B275" t="s">
        <v>327</v>
      </c>
      <c r="C275" t="s">
        <v>345</v>
      </c>
      <c r="D275" t="s">
        <v>288</v>
      </c>
      <c r="E275" t="s">
        <v>293</v>
      </c>
      <c r="F275" t="s">
        <v>300</v>
      </c>
      <c r="G275" t="s">
        <v>308</v>
      </c>
      <c r="H275">
        <v>15</v>
      </c>
      <c r="I275">
        <v>1274</v>
      </c>
      <c r="J275" s="2">
        <v>19110</v>
      </c>
      <c r="K275" t="s">
        <v>313</v>
      </c>
      <c r="L275" t="s">
        <v>315</v>
      </c>
    </row>
    <row r="276" spans="1:12" x14ac:dyDescent="0.25">
      <c r="A276" t="s">
        <v>156</v>
      </c>
      <c r="B276" t="s">
        <v>325</v>
      </c>
      <c r="C276" t="s">
        <v>344</v>
      </c>
      <c r="D276" t="s">
        <v>289</v>
      </c>
      <c r="E276" t="s">
        <v>297</v>
      </c>
      <c r="F276" t="s">
        <v>302</v>
      </c>
      <c r="G276" t="s">
        <v>310</v>
      </c>
      <c r="H276">
        <v>18</v>
      </c>
      <c r="I276">
        <v>494</v>
      </c>
      <c r="J276" s="2">
        <v>8892</v>
      </c>
      <c r="K276" t="s">
        <v>313</v>
      </c>
      <c r="L276" t="s">
        <v>315</v>
      </c>
    </row>
    <row r="277" spans="1:12" x14ac:dyDescent="0.25">
      <c r="A277" t="s">
        <v>205</v>
      </c>
      <c r="B277" t="s">
        <v>319</v>
      </c>
      <c r="C277" t="s">
        <v>338</v>
      </c>
      <c r="D277" t="s">
        <v>290</v>
      </c>
      <c r="E277" t="s">
        <v>295</v>
      </c>
      <c r="F277" t="s">
        <v>303</v>
      </c>
      <c r="G277" t="s">
        <v>309</v>
      </c>
      <c r="H277">
        <v>19</v>
      </c>
      <c r="I277">
        <v>1274</v>
      </c>
      <c r="J277" s="2">
        <v>24206</v>
      </c>
      <c r="K277" t="s">
        <v>312</v>
      </c>
      <c r="L277" t="s">
        <v>315</v>
      </c>
    </row>
    <row r="278" spans="1:12" x14ac:dyDescent="0.25">
      <c r="A278" t="s">
        <v>206</v>
      </c>
      <c r="B278" t="s">
        <v>328</v>
      </c>
      <c r="C278" t="s">
        <v>346</v>
      </c>
      <c r="D278" t="s">
        <v>290</v>
      </c>
      <c r="E278" t="s">
        <v>294</v>
      </c>
      <c r="F278" t="s">
        <v>307</v>
      </c>
      <c r="G278" t="s">
        <v>309</v>
      </c>
      <c r="H278">
        <v>10</v>
      </c>
      <c r="I278">
        <v>613</v>
      </c>
      <c r="J278" s="2">
        <v>6130</v>
      </c>
      <c r="K278" t="s">
        <v>313</v>
      </c>
      <c r="L278" t="s">
        <v>315</v>
      </c>
    </row>
    <row r="279" spans="1:12" x14ac:dyDescent="0.25">
      <c r="A279" t="s">
        <v>113</v>
      </c>
      <c r="B279" t="s">
        <v>317</v>
      </c>
      <c r="C279" t="s">
        <v>336</v>
      </c>
      <c r="D279" t="s">
        <v>289</v>
      </c>
      <c r="E279" t="s">
        <v>293</v>
      </c>
      <c r="F279" t="s">
        <v>302</v>
      </c>
      <c r="G279" t="s">
        <v>310</v>
      </c>
      <c r="H279">
        <v>12</v>
      </c>
      <c r="I279">
        <v>1367</v>
      </c>
      <c r="J279" s="2">
        <v>16404</v>
      </c>
      <c r="K279" t="s">
        <v>314</v>
      </c>
      <c r="L279" t="s">
        <v>316</v>
      </c>
    </row>
    <row r="280" spans="1:12" x14ac:dyDescent="0.25">
      <c r="A280" t="s">
        <v>78</v>
      </c>
      <c r="B280" t="s">
        <v>318</v>
      </c>
      <c r="C280" t="s">
        <v>337</v>
      </c>
      <c r="D280" t="s">
        <v>289</v>
      </c>
      <c r="E280" t="s">
        <v>298</v>
      </c>
      <c r="F280" t="s">
        <v>302</v>
      </c>
      <c r="G280" t="s">
        <v>310</v>
      </c>
      <c r="H280">
        <v>10</v>
      </c>
      <c r="I280">
        <v>820</v>
      </c>
      <c r="J280" s="2">
        <v>8200</v>
      </c>
      <c r="K280" t="s">
        <v>311</v>
      </c>
      <c r="L280" t="s">
        <v>316</v>
      </c>
    </row>
    <row r="281" spans="1:12" x14ac:dyDescent="0.25">
      <c r="A281" t="s">
        <v>207</v>
      </c>
      <c r="B281" t="s">
        <v>326</v>
      </c>
      <c r="C281" t="s">
        <v>326</v>
      </c>
      <c r="D281" t="s">
        <v>291</v>
      </c>
      <c r="E281" t="s">
        <v>298</v>
      </c>
      <c r="F281" t="s">
        <v>306</v>
      </c>
      <c r="G281" t="s">
        <v>309</v>
      </c>
      <c r="H281">
        <v>15</v>
      </c>
      <c r="I281">
        <v>168</v>
      </c>
      <c r="J281" s="2">
        <v>2520</v>
      </c>
      <c r="K281" t="s">
        <v>314</v>
      </c>
      <c r="L281" t="s">
        <v>316</v>
      </c>
    </row>
    <row r="282" spans="1:12" x14ac:dyDescent="0.25">
      <c r="A282" t="s">
        <v>208</v>
      </c>
      <c r="B282" t="s">
        <v>324</v>
      </c>
      <c r="C282" t="s">
        <v>343</v>
      </c>
      <c r="D282" t="s">
        <v>289</v>
      </c>
      <c r="E282" t="s">
        <v>297</v>
      </c>
      <c r="F282" t="s">
        <v>307</v>
      </c>
      <c r="G282" t="s">
        <v>309</v>
      </c>
      <c r="H282">
        <v>9</v>
      </c>
      <c r="I282">
        <v>466</v>
      </c>
      <c r="J282" s="2">
        <v>4194</v>
      </c>
      <c r="K282" t="s">
        <v>312</v>
      </c>
      <c r="L282" t="s">
        <v>315</v>
      </c>
    </row>
    <row r="283" spans="1:12" x14ac:dyDescent="0.25">
      <c r="A283" t="s">
        <v>209</v>
      </c>
      <c r="B283" t="s">
        <v>322</v>
      </c>
      <c r="C283" t="s">
        <v>341</v>
      </c>
      <c r="D283" t="s">
        <v>288</v>
      </c>
      <c r="E283" t="s">
        <v>297</v>
      </c>
      <c r="F283" t="s">
        <v>305</v>
      </c>
      <c r="G283" t="s">
        <v>310</v>
      </c>
      <c r="H283">
        <v>2</v>
      </c>
      <c r="I283">
        <v>599</v>
      </c>
      <c r="J283" s="2">
        <v>1198</v>
      </c>
      <c r="K283" t="s">
        <v>314</v>
      </c>
      <c r="L283" t="s">
        <v>315</v>
      </c>
    </row>
    <row r="284" spans="1:12" x14ac:dyDescent="0.25">
      <c r="A284" t="s">
        <v>173</v>
      </c>
      <c r="B284" t="s">
        <v>321</v>
      </c>
      <c r="C284" t="s">
        <v>340</v>
      </c>
      <c r="D284" t="s">
        <v>290</v>
      </c>
      <c r="E284" t="s">
        <v>299</v>
      </c>
      <c r="F284" t="s">
        <v>306</v>
      </c>
      <c r="G284" t="s">
        <v>309</v>
      </c>
      <c r="H284">
        <v>7</v>
      </c>
      <c r="I284">
        <v>731</v>
      </c>
      <c r="J284" s="2">
        <v>5117</v>
      </c>
      <c r="K284" t="s">
        <v>312</v>
      </c>
      <c r="L284" t="s">
        <v>315</v>
      </c>
    </row>
    <row r="285" spans="1:12" x14ac:dyDescent="0.25">
      <c r="A285" t="s">
        <v>210</v>
      </c>
      <c r="B285" t="s">
        <v>327</v>
      </c>
      <c r="C285" t="s">
        <v>345</v>
      </c>
      <c r="D285" t="s">
        <v>288</v>
      </c>
      <c r="E285" t="s">
        <v>299</v>
      </c>
      <c r="F285" t="s">
        <v>306</v>
      </c>
      <c r="G285" t="s">
        <v>309</v>
      </c>
      <c r="H285">
        <v>8</v>
      </c>
      <c r="I285">
        <v>1474</v>
      </c>
      <c r="J285" s="2">
        <v>11792</v>
      </c>
      <c r="K285" t="s">
        <v>311</v>
      </c>
      <c r="L285" t="s">
        <v>316</v>
      </c>
    </row>
    <row r="286" spans="1:12" x14ac:dyDescent="0.25">
      <c r="A286" t="s">
        <v>76</v>
      </c>
      <c r="B286" t="s">
        <v>326</v>
      </c>
      <c r="C286" t="s">
        <v>326</v>
      </c>
      <c r="D286" t="s">
        <v>291</v>
      </c>
      <c r="E286" t="s">
        <v>294</v>
      </c>
      <c r="F286" t="s">
        <v>305</v>
      </c>
      <c r="G286" t="s">
        <v>310</v>
      </c>
      <c r="H286">
        <v>15</v>
      </c>
      <c r="I286">
        <v>1142</v>
      </c>
      <c r="J286" s="2">
        <v>17130</v>
      </c>
      <c r="K286" t="s">
        <v>312</v>
      </c>
      <c r="L286" t="s">
        <v>316</v>
      </c>
    </row>
    <row r="287" spans="1:12" x14ac:dyDescent="0.25">
      <c r="A287" t="s">
        <v>73</v>
      </c>
      <c r="B287" t="s">
        <v>326</v>
      </c>
      <c r="C287" t="s">
        <v>326</v>
      </c>
      <c r="D287" t="s">
        <v>289</v>
      </c>
      <c r="E287" t="s">
        <v>299</v>
      </c>
      <c r="F287" t="s">
        <v>305</v>
      </c>
      <c r="G287" t="s">
        <v>310</v>
      </c>
      <c r="H287">
        <v>4</v>
      </c>
      <c r="I287">
        <v>1011</v>
      </c>
      <c r="J287" s="2">
        <v>4044</v>
      </c>
      <c r="K287" t="s">
        <v>312</v>
      </c>
      <c r="L287" t="s">
        <v>315</v>
      </c>
    </row>
    <row r="288" spans="1:12" x14ac:dyDescent="0.25">
      <c r="A288" t="s">
        <v>179</v>
      </c>
      <c r="B288" t="s">
        <v>323</v>
      </c>
      <c r="C288" t="s">
        <v>342</v>
      </c>
      <c r="D288" t="s">
        <v>289</v>
      </c>
      <c r="E288" t="s">
        <v>293</v>
      </c>
      <c r="F288" t="s">
        <v>305</v>
      </c>
      <c r="G288" t="s">
        <v>310</v>
      </c>
      <c r="H288">
        <v>19</v>
      </c>
      <c r="I288">
        <v>503</v>
      </c>
      <c r="J288" s="2">
        <v>9557</v>
      </c>
      <c r="K288" t="s">
        <v>311</v>
      </c>
      <c r="L288" t="s">
        <v>315</v>
      </c>
    </row>
    <row r="289" spans="1:12" x14ac:dyDescent="0.25">
      <c r="A289" t="s">
        <v>73</v>
      </c>
      <c r="B289" t="s">
        <v>326</v>
      </c>
      <c r="C289" t="s">
        <v>326</v>
      </c>
      <c r="D289" t="s">
        <v>291</v>
      </c>
      <c r="E289" t="s">
        <v>298</v>
      </c>
      <c r="F289" t="s">
        <v>302</v>
      </c>
      <c r="G289" t="s">
        <v>310</v>
      </c>
      <c r="H289">
        <v>7</v>
      </c>
      <c r="I289">
        <v>725</v>
      </c>
      <c r="J289" s="2">
        <v>5075</v>
      </c>
      <c r="K289" t="s">
        <v>311</v>
      </c>
      <c r="L289" t="s">
        <v>316</v>
      </c>
    </row>
    <row r="290" spans="1:12" x14ac:dyDescent="0.25">
      <c r="A290" t="s">
        <v>94</v>
      </c>
      <c r="B290" t="s">
        <v>324</v>
      </c>
      <c r="C290" t="s">
        <v>343</v>
      </c>
      <c r="D290" t="s">
        <v>289</v>
      </c>
      <c r="E290" t="s">
        <v>295</v>
      </c>
      <c r="F290" t="s">
        <v>306</v>
      </c>
      <c r="G290" t="s">
        <v>309</v>
      </c>
      <c r="H290">
        <v>9</v>
      </c>
      <c r="I290">
        <v>1050</v>
      </c>
      <c r="J290" s="2">
        <v>9450</v>
      </c>
      <c r="K290" t="s">
        <v>314</v>
      </c>
      <c r="L290" t="s">
        <v>316</v>
      </c>
    </row>
    <row r="291" spans="1:12" x14ac:dyDescent="0.25">
      <c r="A291" t="s">
        <v>61</v>
      </c>
      <c r="B291" t="s">
        <v>320</v>
      </c>
      <c r="C291" t="s">
        <v>339</v>
      </c>
      <c r="D291" t="s">
        <v>290</v>
      </c>
      <c r="E291" t="s">
        <v>298</v>
      </c>
      <c r="F291" t="s">
        <v>305</v>
      </c>
      <c r="G291" t="s">
        <v>310</v>
      </c>
      <c r="H291">
        <v>18</v>
      </c>
      <c r="I291">
        <v>1050</v>
      </c>
      <c r="J291" s="2">
        <v>18900</v>
      </c>
      <c r="K291" t="s">
        <v>311</v>
      </c>
      <c r="L291" t="s">
        <v>315</v>
      </c>
    </row>
    <row r="292" spans="1:12" x14ac:dyDescent="0.25">
      <c r="A292" t="s">
        <v>211</v>
      </c>
      <c r="B292" t="s">
        <v>319</v>
      </c>
      <c r="C292" t="s">
        <v>338</v>
      </c>
      <c r="D292" t="s">
        <v>288</v>
      </c>
      <c r="E292" t="s">
        <v>293</v>
      </c>
      <c r="F292" t="s">
        <v>301</v>
      </c>
      <c r="G292" t="s">
        <v>309</v>
      </c>
      <c r="H292">
        <v>1</v>
      </c>
      <c r="I292">
        <v>894</v>
      </c>
      <c r="J292" s="2">
        <v>894</v>
      </c>
      <c r="K292" t="s">
        <v>311</v>
      </c>
      <c r="L292" t="s">
        <v>315</v>
      </c>
    </row>
    <row r="293" spans="1:12" x14ac:dyDescent="0.25">
      <c r="A293" t="s">
        <v>134</v>
      </c>
      <c r="B293" t="s">
        <v>321</v>
      </c>
      <c r="C293" t="s">
        <v>340</v>
      </c>
      <c r="D293" t="s">
        <v>288</v>
      </c>
      <c r="E293" t="s">
        <v>297</v>
      </c>
      <c r="F293" t="s">
        <v>307</v>
      </c>
      <c r="G293" t="s">
        <v>309</v>
      </c>
      <c r="H293">
        <v>17</v>
      </c>
      <c r="I293">
        <v>983</v>
      </c>
      <c r="J293" s="2">
        <v>16711</v>
      </c>
      <c r="K293" t="s">
        <v>312</v>
      </c>
      <c r="L293" t="s">
        <v>315</v>
      </c>
    </row>
    <row r="294" spans="1:12" x14ac:dyDescent="0.25">
      <c r="A294" t="s">
        <v>155</v>
      </c>
      <c r="B294" t="s">
        <v>317</v>
      </c>
      <c r="C294" t="s">
        <v>336</v>
      </c>
      <c r="D294" t="s">
        <v>289</v>
      </c>
      <c r="E294" t="s">
        <v>293</v>
      </c>
      <c r="F294" t="s">
        <v>304</v>
      </c>
      <c r="G294" t="s">
        <v>310</v>
      </c>
      <c r="H294">
        <v>1</v>
      </c>
      <c r="I294">
        <v>1139</v>
      </c>
      <c r="J294" s="2">
        <v>1139</v>
      </c>
      <c r="K294" t="s">
        <v>314</v>
      </c>
      <c r="L294" t="s">
        <v>315</v>
      </c>
    </row>
    <row r="295" spans="1:12" x14ac:dyDescent="0.25">
      <c r="A295" t="s">
        <v>212</v>
      </c>
      <c r="B295" t="s">
        <v>325</v>
      </c>
      <c r="C295" t="s">
        <v>344</v>
      </c>
      <c r="D295" t="s">
        <v>291</v>
      </c>
      <c r="E295" t="s">
        <v>293</v>
      </c>
      <c r="F295" t="s">
        <v>303</v>
      </c>
      <c r="G295" t="s">
        <v>309</v>
      </c>
      <c r="H295">
        <v>17</v>
      </c>
      <c r="I295">
        <v>1479</v>
      </c>
      <c r="J295" s="2">
        <v>25143</v>
      </c>
      <c r="K295" t="s">
        <v>314</v>
      </c>
      <c r="L295" t="s">
        <v>315</v>
      </c>
    </row>
    <row r="296" spans="1:12" x14ac:dyDescent="0.25">
      <c r="A296" t="s">
        <v>64</v>
      </c>
      <c r="B296" t="s">
        <v>321</v>
      </c>
      <c r="C296" t="s">
        <v>340</v>
      </c>
      <c r="D296" t="s">
        <v>290</v>
      </c>
      <c r="E296" t="s">
        <v>297</v>
      </c>
      <c r="F296" t="s">
        <v>300</v>
      </c>
      <c r="G296" t="s">
        <v>308</v>
      </c>
      <c r="H296">
        <v>7</v>
      </c>
      <c r="I296">
        <v>1319</v>
      </c>
      <c r="J296" s="2">
        <v>9233</v>
      </c>
      <c r="K296" t="s">
        <v>312</v>
      </c>
      <c r="L296" t="s">
        <v>316</v>
      </c>
    </row>
    <row r="297" spans="1:12" x14ac:dyDescent="0.25">
      <c r="A297" t="s">
        <v>97</v>
      </c>
      <c r="B297" t="s">
        <v>326</v>
      </c>
      <c r="C297" t="s">
        <v>326</v>
      </c>
      <c r="D297" t="s">
        <v>288</v>
      </c>
      <c r="E297" t="s">
        <v>295</v>
      </c>
      <c r="F297" t="s">
        <v>302</v>
      </c>
      <c r="G297" t="s">
        <v>310</v>
      </c>
      <c r="H297">
        <v>13</v>
      </c>
      <c r="I297">
        <v>990</v>
      </c>
      <c r="J297" s="2">
        <v>12870</v>
      </c>
      <c r="K297" t="s">
        <v>311</v>
      </c>
      <c r="L297" t="s">
        <v>315</v>
      </c>
    </row>
    <row r="298" spans="1:12" x14ac:dyDescent="0.25">
      <c r="A298" t="s">
        <v>213</v>
      </c>
      <c r="B298" t="s">
        <v>328</v>
      </c>
      <c r="C298" t="s">
        <v>346</v>
      </c>
      <c r="D298" t="s">
        <v>288</v>
      </c>
      <c r="E298" t="s">
        <v>296</v>
      </c>
      <c r="F298" t="s">
        <v>300</v>
      </c>
      <c r="G298" t="s">
        <v>308</v>
      </c>
      <c r="H298">
        <v>13</v>
      </c>
      <c r="I298">
        <v>826</v>
      </c>
      <c r="J298" s="2">
        <v>10738</v>
      </c>
      <c r="K298" t="s">
        <v>314</v>
      </c>
      <c r="L298" t="s">
        <v>316</v>
      </c>
    </row>
    <row r="299" spans="1:12" x14ac:dyDescent="0.25">
      <c r="A299" t="s">
        <v>198</v>
      </c>
      <c r="B299" t="s">
        <v>325</v>
      </c>
      <c r="C299" t="s">
        <v>344</v>
      </c>
      <c r="D299" t="s">
        <v>290</v>
      </c>
      <c r="E299" t="s">
        <v>296</v>
      </c>
      <c r="F299" t="s">
        <v>301</v>
      </c>
      <c r="G299" t="s">
        <v>309</v>
      </c>
      <c r="H299">
        <v>16</v>
      </c>
      <c r="I299">
        <v>938</v>
      </c>
      <c r="J299" s="2">
        <v>15008</v>
      </c>
      <c r="K299" t="s">
        <v>312</v>
      </c>
      <c r="L299" t="s">
        <v>315</v>
      </c>
    </row>
    <row r="300" spans="1:12" x14ac:dyDescent="0.25">
      <c r="A300" t="s">
        <v>214</v>
      </c>
      <c r="B300" t="s">
        <v>319</v>
      </c>
      <c r="C300" t="s">
        <v>338</v>
      </c>
      <c r="D300" t="s">
        <v>290</v>
      </c>
      <c r="E300" t="s">
        <v>297</v>
      </c>
      <c r="F300" t="s">
        <v>301</v>
      </c>
      <c r="G300" t="s">
        <v>309</v>
      </c>
      <c r="H300">
        <v>19</v>
      </c>
      <c r="I300">
        <v>1023</v>
      </c>
      <c r="J300" s="2">
        <v>19437</v>
      </c>
      <c r="K300" t="s">
        <v>312</v>
      </c>
      <c r="L300" t="s">
        <v>315</v>
      </c>
    </row>
    <row r="301" spans="1:12" x14ac:dyDescent="0.25">
      <c r="A301" t="s">
        <v>215</v>
      </c>
      <c r="B301" t="s">
        <v>321</v>
      </c>
      <c r="C301" t="s">
        <v>340</v>
      </c>
      <c r="D301" t="s">
        <v>288</v>
      </c>
      <c r="E301" t="s">
        <v>298</v>
      </c>
      <c r="F301" t="s">
        <v>303</v>
      </c>
      <c r="G301" t="s">
        <v>309</v>
      </c>
      <c r="H301">
        <v>11</v>
      </c>
      <c r="I301">
        <v>82</v>
      </c>
      <c r="J301" s="2">
        <v>902</v>
      </c>
      <c r="K301" t="s">
        <v>311</v>
      </c>
      <c r="L301" t="s">
        <v>315</v>
      </c>
    </row>
    <row r="302" spans="1:12" x14ac:dyDescent="0.25">
      <c r="A302" t="s">
        <v>216</v>
      </c>
      <c r="B302" t="s">
        <v>318</v>
      </c>
      <c r="C302" t="s">
        <v>337</v>
      </c>
      <c r="D302" t="s">
        <v>288</v>
      </c>
      <c r="E302" t="s">
        <v>292</v>
      </c>
      <c r="F302" t="s">
        <v>302</v>
      </c>
      <c r="G302" t="s">
        <v>310</v>
      </c>
      <c r="H302">
        <v>6</v>
      </c>
      <c r="I302">
        <v>1204</v>
      </c>
      <c r="J302" s="2">
        <v>7224</v>
      </c>
      <c r="K302" t="s">
        <v>311</v>
      </c>
      <c r="L302" t="s">
        <v>316</v>
      </c>
    </row>
    <row r="303" spans="1:12" x14ac:dyDescent="0.25">
      <c r="A303" t="s">
        <v>11</v>
      </c>
      <c r="B303" t="s">
        <v>318</v>
      </c>
      <c r="C303" t="s">
        <v>337</v>
      </c>
      <c r="D303" t="s">
        <v>289</v>
      </c>
      <c r="E303" t="s">
        <v>298</v>
      </c>
      <c r="F303" t="s">
        <v>305</v>
      </c>
      <c r="G303" t="s">
        <v>310</v>
      </c>
      <c r="H303">
        <v>3</v>
      </c>
      <c r="I303">
        <v>1075</v>
      </c>
      <c r="J303" s="2">
        <v>3225</v>
      </c>
      <c r="K303" t="s">
        <v>312</v>
      </c>
      <c r="L303" t="s">
        <v>315</v>
      </c>
    </row>
    <row r="304" spans="1:12" x14ac:dyDescent="0.25">
      <c r="A304" t="s">
        <v>217</v>
      </c>
      <c r="B304" t="s">
        <v>321</v>
      </c>
      <c r="C304" t="s">
        <v>340</v>
      </c>
      <c r="D304" t="s">
        <v>290</v>
      </c>
      <c r="E304" t="s">
        <v>296</v>
      </c>
      <c r="F304" t="s">
        <v>302</v>
      </c>
      <c r="G304" t="s">
        <v>310</v>
      </c>
      <c r="H304">
        <v>11</v>
      </c>
      <c r="I304">
        <v>1289</v>
      </c>
      <c r="J304" s="2">
        <v>14179</v>
      </c>
      <c r="K304" t="s">
        <v>314</v>
      </c>
      <c r="L304" t="s">
        <v>316</v>
      </c>
    </row>
    <row r="305" spans="1:12" x14ac:dyDescent="0.25">
      <c r="A305" t="s">
        <v>218</v>
      </c>
      <c r="B305" t="s">
        <v>325</v>
      </c>
      <c r="C305" t="s">
        <v>344</v>
      </c>
      <c r="D305" t="s">
        <v>289</v>
      </c>
      <c r="E305" t="s">
        <v>299</v>
      </c>
      <c r="F305" t="s">
        <v>303</v>
      </c>
      <c r="G305" t="s">
        <v>309</v>
      </c>
      <c r="H305">
        <v>8</v>
      </c>
      <c r="I305">
        <v>778</v>
      </c>
      <c r="J305" s="2">
        <v>6224</v>
      </c>
      <c r="K305" t="s">
        <v>314</v>
      </c>
      <c r="L305" t="s">
        <v>316</v>
      </c>
    </row>
    <row r="306" spans="1:12" x14ac:dyDescent="0.25">
      <c r="A306" t="s">
        <v>163</v>
      </c>
      <c r="B306" t="s">
        <v>327</v>
      </c>
      <c r="C306" t="s">
        <v>345</v>
      </c>
      <c r="D306" t="s">
        <v>288</v>
      </c>
      <c r="E306" t="s">
        <v>292</v>
      </c>
      <c r="F306" t="s">
        <v>302</v>
      </c>
      <c r="G306" t="s">
        <v>310</v>
      </c>
      <c r="H306">
        <v>8</v>
      </c>
      <c r="I306">
        <v>200</v>
      </c>
      <c r="J306" s="2">
        <v>1600</v>
      </c>
      <c r="K306" t="s">
        <v>313</v>
      </c>
      <c r="L306" t="s">
        <v>316</v>
      </c>
    </row>
    <row r="307" spans="1:12" x14ac:dyDescent="0.25">
      <c r="A307" t="s">
        <v>219</v>
      </c>
      <c r="B307" t="s">
        <v>320</v>
      </c>
      <c r="C307" t="s">
        <v>339</v>
      </c>
      <c r="D307" t="s">
        <v>290</v>
      </c>
      <c r="E307" t="s">
        <v>294</v>
      </c>
      <c r="F307" t="s">
        <v>302</v>
      </c>
      <c r="G307" t="s">
        <v>310</v>
      </c>
      <c r="H307">
        <v>11</v>
      </c>
      <c r="I307">
        <v>788</v>
      </c>
      <c r="J307" s="2">
        <v>8668</v>
      </c>
      <c r="K307" t="s">
        <v>313</v>
      </c>
      <c r="L307" t="s">
        <v>315</v>
      </c>
    </row>
    <row r="308" spans="1:12" x14ac:dyDescent="0.25">
      <c r="A308" t="s">
        <v>220</v>
      </c>
      <c r="B308" t="s">
        <v>325</v>
      </c>
      <c r="C308" t="s">
        <v>344</v>
      </c>
      <c r="D308" t="s">
        <v>289</v>
      </c>
      <c r="E308" t="s">
        <v>295</v>
      </c>
      <c r="F308" t="s">
        <v>303</v>
      </c>
      <c r="G308" t="s">
        <v>309</v>
      </c>
      <c r="H308">
        <v>9</v>
      </c>
      <c r="I308">
        <v>259</v>
      </c>
      <c r="J308" s="2">
        <v>2331</v>
      </c>
      <c r="K308" t="s">
        <v>311</v>
      </c>
      <c r="L308" t="s">
        <v>315</v>
      </c>
    </row>
    <row r="309" spans="1:12" x14ac:dyDescent="0.25">
      <c r="A309" t="s">
        <v>163</v>
      </c>
      <c r="B309" t="s">
        <v>327</v>
      </c>
      <c r="C309" t="s">
        <v>345</v>
      </c>
      <c r="D309" t="s">
        <v>289</v>
      </c>
      <c r="E309" t="s">
        <v>294</v>
      </c>
      <c r="F309" t="s">
        <v>302</v>
      </c>
      <c r="G309" t="s">
        <v>310</v>
      </c>
      <c r="H309">
        <v>4</v>
      </c>
      <c r="I309">
        <v>103</v>
      </c>
      <c r="J309" s="2">
        <v>412</v>
      </c>
      <c r="K309" t="s">
        <v>313</v>
      </c>
      <c r="L309" t="s">
        <v>316</v>
      </c>
    </row>
    <row r="310" spans="1:12" x14ac:dyDescent="0.25">
      <c r="A310" t="s">
        <v>128</v>
      </c>
      <c r="B310" t="s">
        <v>324</v>
      </c>
      <c r="C310" t="s">
        <v>343</v>
      </c>
      <c r="D310" t="s">
        <v>291</v>
      </c>
      <c r="E310" t="s">
        <v>294</v>
      </c>
      <c r="F310" t="s">
        <v>300</v>
      </c>
      <c r="G310" t="s">
        <v>308</v>
      </c>
      <c r="H310">
        <v>1</v>
      </c>
      <c r="I310">
        <v>647</v>
      </c>
      <c r="J310" s="2">
        <v>647</v>
      </c>
      <c r="K310" t="s">
        <v>314</v>
      </c>
      <c r="L310" t="s">
        <v>316</v>
      </c>
    </row>
    <row r="311" spans="1:12" x14ac:dyDescent="0.25">
      <c r="A311" t="s">
        <v>221</v>
      </c>
      <c r="B311" t="s">
        <v>321</v>
      </c>
      <c r="C311" t="s">
        <v>340</v>
      </c>
      <c r="D311" t="s">
        <v>290</v>
      </c>
      <c r="E311" t="s">
        <v>294</v>
      </c>
      <c r="F311" t="s">
        <v>306</v>
      </c>
      <c r="G311" t="s">
        <v>309</v>
      </c>
      <c r="H311">
        <v>6</v>
      </c>
      <c r="I311">
        <v>334</v>
      </c>
      <c r="J311" s="2">
        <v>2004</v>
      </c>
      <c r="K311" t="s">
        <v>312</v>
      </c>
      <c r="L311" t="s">
        <v>316</v>
      </c>
    </row>
    <row r="312" spans="1:12" x14ac:dyDescent="0.25">
      <c r="A312" t="s">
        <v>222</v>
      </c>
      <c r="B312" t="s">
        <v>326</v>
      </c>
      <c r="C312" t="s">
        <v>326</v>
      </c>
      <c r="D312" t="s">
        <v>290</v>
      </c>
      <c r="E312" t="s">
        <v>296</v>
      </c>
      <c r="F312" t="s">
        <v>304</v>
      </c>
      <c r="G312" t="s">
        <v>310</v>
      </c>
      <c r="H312">
        <v>6</v>
      </c>
      <c r="I312">
        <v>940</v>
      </c>
      <c r="J312" s="2">
        <v>5640</v>
      </c>
      <c r="K312" t="s">
        <v>312</v>
      </c>
      <c r="L312" t="s">
        <v>316</v>
      </c>
    </row>
    <row r="313" spans="1:12" x14ac:dyDescent="0.25">
      <c r="A313" t="s">
        <v>213</v>
      </c>
      <c r="B313" t="s">
        <v>328</v>
      </c>
      <c r="C313" t="s">
        <v>346</v>
      </c>
      <c r="D313" t="s">
        <v>288</v>
      </c>
      <c r="E313" t="s">
        <v>295</v>
      </c>
      <c r="F313" t="s">
        <v>304</v>
      </c>
      <c r="G313" t="s">
        <v>310</v>
      </c>
      <c r="H313">
        <v>9</v>
      </c>
      <c r="I313">
        <v>555</v>
      </c>
      <c r="J313" s="2">
        <v>4995</v>
      </c>
      <c r="K313" t="s">
        <v>314</v>
      </c>
      <c r="L313" t="s">
        <v>315</v>
      </c>
    </row>
    <row r="314" spans="1:12" x14ac:dyDescent="0.25">
      <c r="A314" t="s">
        <v>223</v>
      </c>
      <c r="B314" t="s">
        <v>322</v>
      </c>
      <c r="C314" t="s">
        <v>341</v>
      </c>
      <c r="D314" t="s">
        <v>290</v>
      </c>
      <c r="E314" t="s">
        <v>292</v>
      </c>
      <c r="F314" t="s">
        <v>300</v>
      </c>
      <c r="G314" t="s">
        <v>308</v>
      </c>
      <c r="H314">
        <v>1</v>
      </c>
      <c r="I314">
        <v>860</v>
      </c>
      <c r="J314" s="2">
        <v>860</v>
      </c>
      <c r="K314" t="s">
        <v>312</v>
      </c>
      <c r="L314" t="s">
        <v>316</v>
      </c>
    </row>
    <row r="315" spans="1:12" x14ac:dyDescent="0.25">
      <c r="A315" t="s">
        <v>53</v>
      </c>
      <c r="B315" t="s">
        <v>328</v>
      </c>
      <c r="C315" t="s">
        <v>346</v>
      </c>
      <c r="D315" t="s">
        <v>291</v>
      </c>
      <c r="E315" t="s">
        <v>294</v>
      </c>
      <c r="F315" t="s">
        <v>304</v>
      </c>
      <c r="G315" t="s">
        <v>310</v>
      </c>
      <c r="H315">
        <v>20</v>
      </c>
      <c r="I315">
        <v>328</v>
      </c>
      <c r="J315" s="2">
        <v>6560</v>
      </c>
      <c r="K315" t="s">
        <v>312</v>
      </c>
      <c r="L315" t="s">
        <v>316</v>
      </c>
    </row>
    <row r="316" spans="1:12" x14ac:dyDescent="0.25">
      <c r="A316" t="s">
        <v>224</v>
      </c>
      <c r="B316" t="s">
        <v>317</v>
      </c>
      <c r="C316" t="s">
        <v>336</v>
      </c>
      <c r="D316" t="s">
        <v>289</v>
      </c>
      <c r="E316" t="s">
        <v>295</v>
      </c>
      <c r="F316" t="s">
        <v>306</v>
      </c>
      <c r="G316" t="s">
        <v>309</v>
      </c>
      <c r="H316">
        <v>6</v>
      </c>
      <c r="I316">
        <v>865</v>
      </c>
      <c r="J316" s="2">
        <v>5190</v>
      </c>
      <c r="K316" t="s">
        <v>312</v>
      </c>
      <c r="L316" t="s">
        <v>316</v>
      </c>
    </row>
    <row r="317" spans="1:12" x14ac:dyDescent="0.25">
      <c r="A317" t="s">
        <v>225</v>
      </c>
      <c r="B317" t="s">
        <v>318</v>
      </c>
      <c r="C317" t="s">
        <v>337</v>
      </c>
      <c r="D317" t="s">
        <v>290</v>
      </c>
      <c r="E317" t="s">
        <v>295</v>
      </c>
      <c r="F317" t="s">
        <v>304</v>
      </c>
      <c r="G317" t="s">
        <v>310</v>
      </c>
      <c r="H317">
        <v>13</v>
      </c>
      <c r="I317">
        <v>624</v>
      </c>
      <c r="J317" s="2">
        <v>8112</v>
      </c>
      <c r="K317" t="s">
        <v>314</v>
      </c>
      <c r="L317" t="s">
        <v>316</v>
      </c>
    </row>
    <row r="318" spans="1:12" x14ac:dyDescent="0.25">
      <c r="A318" t="s">
        <v>172</v>
      </c>
      <c r="B318" t="s">
        <v>321</v>
      </c>
      <c r="C318" t="s">
        <v>340</v>
      </c>
      <c r="D318" t="s">
        <v>290</v>
      </c>
      <c r="E318" t="s">
        <v>293</v>
      </c>
      <c r="F318" t="s">
        <v>306</v>
      </c>
      <c r="G318" t="s">
        <v>309</v>
      </c>
      <c r="H318">
        <v>15</v>
      </c>
      <c r="I318">
        <v>1500</v>
      </c>
      <c r="J318" s="2">
        <v>22500</v>
      </c>
      <c r="K318" t="s">
        <v>311</v>
      </c>
      <c r="L318" t="s">
        <v>316</v>
      </c>
    </row>
    <row r="319" spans="1:12" x14ac:dyDescent="0.25">
      <c r="A319" t="s">
        <v>95</v>
      </c>
      <c r="B319" t="s">
        <v>326</v>
      </c>
      <c r="C319" t="s">
        <v>326</v>
      </c>
      <c r="D319" t="s">
        <v>289</v>
      </c>
      <c r="E319" t="s">
        <v>299</v>
      </c>
      <c r="F319" t="s">
        <v>300</v>
      </c>
      <c r="G319" t="s">
        <v>308</v>
      </c>
      <c r="H319">
        <v>5</v>
      </c>
      <c r="I319">
        <v>1347</v>
      </c>
      <c r="J319" s="2">
        <v>6735</v>
      </c>
      <c r="K319" t="s">
        <v>312</v>
      </c>
      <c r="L319" t="s">
        <v>315</v>
      </c>
    </row>
    <row r="320" spans="1:12" x14ac:dyDescent="0.25">
      <c r="A320" t="s">
        <v>226</v>
      </c>
      <c r="B320" t="s">
        <v>326</v>
      </c>
      <c r="C320" t="s">
        <v>326</v>
      </c>
      <c r="D320" t="s">
        <v>289</v>
      </c>
      <c r="E320" t="s">
        <v>294</v>
      </c>
      <c r="F320" t="s">
        <v>307</v>
      </c>
      <c r="G320" t="s">
        <v>309</v>
      </c>
      <c r="H320">
        <v>3</v>
      </c>
      <c r="I320">
        <v>969</v>
      </c>
      <c r="J320" s="2">
        <v>2907</v>
      </c>
      <c r="K320" t="s">
        <v>314</v>
      </c>
      <c r="L320" t="s">
        <v>316</v>
      </c>
    </row>
    <row r="321" spans="1:12" x14ac:dyDescent="0.25">
      <c r="A321" t="s">
        <v>227</v>
      </c>
      <c r="B321" t="s">
        <v>319</v>
      </c>
      <c r="C321" t="s">
        <v>338</v>
      </c>
      <c r="D321" t="s">
        <v>288</v>
      </c>
      <c r="E321" t="s">
        <v>295</v>
      </c>
      <c r="F321" t="s">
        <v>302</v>
      </c>
      <c r="G321" t="s">
        <v>310</v>
      </c>
      <c r="H321">
        <v>18</v>
      </c>
      <c r="I321">
        <v>1266</v>
      </c>
      <c r="J321" s="2">
        <v>22788</v>
      </c>
      <c r="K321" t="s">
        <v>313</v>
      </c>
      <c r="L321" t="s">
        <v>315</v>
      </c>
    </row>
    <row r="322" spans="1:12" x14ac:dyDescent="0.25">
      <c r="A322" t="s">
        <v>228</v>
      </c>
      <c r="B322" t="s">
        <v>326</v>
      </c>
      <c r="C322" t="s">
        <v>326</v>
      </c>
      <c r="D322" t="s">
        <v>290</v>
      </c>
      <c r="E322" t="s">
        <v>293</v>
      </c>
      <c r="F322" t="s">
        <v>305</v>
      </c>
      <c r="G322" t="s">
        <v>310</v>
      </c>
      <c r="H322">
        <v>19</v>
      </c>
      <c r="I322">
        <v>1371</v>
      </c>
      <c r="J322" s="2">
        <v>26049</v>
      </c>
      <c r="K322" t="s">
        <v>314</v>
      </c>
      <c r="L322" t="s">
        <v>316</v>
      </c>
    </row>
    <row r="323" spans="1:12" x14ac:dyDescent="0.25">
      <c r="A323" t="s">
        <v>57</v>
      </c>
      <c r="B323" t="s">
        <v>322</v>
      </c>
      <c r="C323" t="s">
        <v>341</v>
      </c>
      <c r="D323" t="s">
        <v>288</v>
      </c>
      <c r="E323" t="s">
        <v>296</v>
      </c>
      <c r="F323" t="s">
        <v>300</v>
      </c>
      <c r="G323" t="s">
        <v>308</v>
      </c>
      <c r="H323">
        <v>9</v>
      </c>
      <c r="I323">
        <v>504</v>
      </c>
      <c r="J323" s="2">
        <v>4536</v>
      </c>
      <c r="K323" t="s">
        <v>311</v>
      </c>
      <c r="L323" t="s">
        <v>316</v>
      </c>
    </row>
    <row r="324" spans="1:12" x14ac:dyDescent="0.25">
      <c r="A324" t="s">
        <v>229</v>
      </c>
      <c r="B324" t="s">
        <v>323</v>
      </c>
      <c r="C324" t="s">
        <v>342</v>
      </c>
      <c r="D324" t="s">
        <v>289</v>
      </c>
      <c r="E324" t="s">
        <v>298</v>
      </c>
      <c r="F324" t="s">
        <v>302</v>
      </c>
      <c r="G324" t="s">
        <v>310</v>
      </c>
      <c r="H324">
        <v>12</v>
      </c>
      <c r="I324">
        <v>100</v>
      </c>
      <c r="J324" s="2">
        <v>1200</v>
      </c>
      <c r="K324" t="s">
        <v>314</v>
      </c>
      <c r="L324" t="s">
        <v>315</v>
      </c>
    </row>
    <row r="325" spans="1:12" x14ac:dyDescent="0.25">
      <c r="A325" t="s">
        <v>230</v>
      </c>
      <c r="B325" t="s">
        <v>326</v>
      </c>
      <c r="C325" t="s">
        <v>326</v>
      </c>
      <c r="D325" t="s">
        <v>288</v>
      </c>
      <c r="E325" t="s">
        <v>296</v>
      </c>
      <c r="F325" t="s">
        <v>302</v>
      </c>
      <c r="G325" t="s">
        <v>310</v>
      </c>
      <c r="H325">
        <v>5</v>
      </c>
      <c r="I325">
        <v>763</v>
      </c>
      <c r="J325" s="2">
        <v>3815</v>
      </c>
      <c r="K325" t="s">
        <v>312</v>
      </c>
      <c r="L325" t="s">
        <v>316</v>
      </c>
    </row>
    <row r="326" spans="1:12" x14ac:dyDescent="0.25">
      <c r="A326" t="s">
        <v>231</v>
      </c>
      <c r="B326" t="s">
        <v>322</v>
      </c>
      <c r="C326" t="s">
        <v>341</v>
      </c>
      <c r="D326" t="s">
        <v>289</v>
      </c>
      <c r="E326" t="s">
        <v>295</v>
      </c>
      <c r="F326" t="s">
        <v>306</v>
      </c>
      <c r="G326" t="s">
        <v>309</v>
      </c>
      <c r="H326">
        <v>16</v>
      </c>
      <c r="I326">
        <v>249</v>
      </c>
      <c r="J326" s="2">
        <v>3984</v>
      </c>
      <c r="K326" t="s">
        <v>314</v>
      </c>
      <c r="L326" t="s">
        <v>316</v>
      </c>
    </row>
    <row r="327" spans="1:12" x14ac:dyDescent="0.25">
      <c r="A327" t="s">
        <v>232</v>
      </c>
      <c r="B327" t="s">
        <v>328</v>
      </c>
      <c r="C327" t="s">
        <v>346</v>
      </c>
      <c r="D327" t="s">
        <v>291</v>
      </c>
      <c r="E327" t="s">
        <v>293</v>
      </c>
      <c r="F327" t="s">
        <v>300</v>
      </c>
      <c r="G327" t="s">
        <v>308</v>
      </c>
      <c r="H327">
        <v>4</v>
      </c>
      <c r="I327">
        <v>96</v>
      </c>
      <c r="J327" s="2">
        <v>384</v>
      </c>
      <c r="K327" t="s">
        <v>312</v>
      </c>
      <c r="L327" t="s">
        <v>315</v>
      </c>
    </row>
    <row r="328" spans="1:12" x14ac:dyDescent="0.25">
      <c r="A328" t="s">
        <v>11</v>
      </c>
      <c r="B328" t="s">
        <v>318</v>
      </c>
      <c r="C328" t="s">
        <v>337</v>
      </c>
      <c r="D328" t="s">
        <v>290</v>
      </c>
      <c r="E328" t="s">
        <v>298</v>
      </c>
      <c r="F328" t="s">
        <v>307</v>
      </c>
      <c r="G328" t="s">
        <v>309</v>
      </c>
      <c r="H328">
        <v>18</v>
      </c>
      <c r="I328">
        <v>377</v>
      </c>
      <c r="J328" s="2">
        <v>6786</v>
      </c>
      <c r="K328" t="s">
        <v>312</v>
      </c>
      <c r="L328" t="s">
        <v>316</v>
      </c>
    </row>
    <row r="329" spans="1:12" x14ac:dyDescent="0.25">
      <c r="A329" t="s">
        <v>150</v>
      </c>
      <c r="B329" t="s">
        <v>322</v>
      </c>
      <c r="C329" t="s">
        <v>341</v>
      </c>
      <c r="D329" t="s">
        <v>289</v>
      </c>
      <c r="E329" t="s">
        <v>298</v>
      </c>
      <c r="F329" t="s">
        <v>306</v>
      </c>
      <c r="G329" t="s">
        <v>309</v>
      </c>
      <c r="H329">
        <v>6</v>
      </c>
      <c r="I329">
        <v>1361</v>
      </c>
      <c r="J329" s="2">
        <v>8166</v>
      </c>
      <c r="K329" t="s">
        <v>314</v>
      </c>
      <c r="L329" t="s">
        <v>316</v>
      </c>
    </row>
    <row r="330" spans="1:12" x14ac:dyDescent="0.25">
      <c r="A330" t="s">
        <v>54</v>
      </c>
      <c r="B330" t="s">
        <v>325</v>
      </c>
      <c r="C330" t="s">
        <v>344</v>
      </c>
      <c r="D330" t="s">
        <v>289</v>
      </c>
      <c r="E330" t="s">
        <v>294</v>
      </c>
      <c r="F330" t="s">
        <v>306</v>
      </c>
      <c r="G330" t="s">
        <v>309</v>
      </c>
      <c r="H330">
        <v>13</v>
      </c>
      <c r="I330">
        <v>59</v>
      </c>
      <c r="J330" s="2">
        <v>767</v>
      </c>
      <c r="K330" t="s">
        <v>311</v>
      </c>
      <c r="L330" t="s">
        <v>315</v>
      </c>
    </row>
    <row r="331" spans="1:12" x14ac:dyDescent="0.25">
      <c r="A331" t="s">
        <v>74</v>
      </c>
      <c r="B331" t="s">
        <v>326</v>
      </c>
      <c r="C331" t="s">
        <v>326</v>
      </c>
      <c r="D331" t="s">
        <v>288</v>
      </c>
      <c r="E331" t="s">
        <v>298</v>
      </c>
      <c r="F331" t="s">
        <v>300</v>
      </c>
      <c r="G331" t="s">
        <v>308</v>
      </c>
      <c r="H331">
        <v>12</v>
      </c>
      <c r="I331">
        <v>717</v>
      </c>
      <c r="J331" s="2">
        <v>8604</v>
      </c>
      <c r="K331" t="s">
        <v>311</v>
      </c>
      <c r="L331" t="s">
        <v>316</v>
      </c>
    </row>
    <row r="332" spans="1:12" x14ac:dyDescent="0.25">
      <c r="A332" t="s">
        <v>172</v>
      </c>
      <c r="B332" t="s">
        <v>321</v>
      </c>
      <c r="C332" t="s">
        <v>340</v>
      </c>
      <c r="D332" t="s">
        <v>289</v>
      </c>
      <c r="E332" t="s">
        <v>295</v>
      </c>
      <c r="F332" t="s">
        <v>303</v>
      </c>
      <c r="G332" t="s">
        <v>309</v>
      </c>
      <c r="H332">
        <v>20</v>
      </c>
      <c r="I332">
        <v>845</v>
      </c>
      <c r="J332" s="2">
        <v>16900</v>
      </c>
      <c r="K332" t="s">
        <v>314</v>
      </c>
      <c r="L332" t="s">
        <v>315</v>
      </c>
    </row>
    <row r="333" spans="1:12" x14ac:dyDescent="0.25">
      <c r="A333" t="s">
        <v>158</v>
      </c>
      <c r="B333" t="s">
        <v>328</v>
      </c>
      <c r="C333" t="s">
        <v>346</v>
      </c>
      <c r="D333" t="s">
        <v>289</v>
      </c>
      <c r="E333" t="s">
        <v>298</v>
      </c>
      <c r="F333" t="s">
        <v>305</v>
      </c>
      <c r="G333" t="s">
        <v>310</v>
      </c>
      <c r="H333">
        <v>10</v>
      </c>
      <c r="I333">
        <v>1308</v>
      </c>
      <c r="J333" s="2">
        <v>13080</v>
      </c>
      <c r="K333" t="s">
        <v>313</v>
      </c>
      <c r="L333" t="s">
        <v>315</v>
      </c>
    </row>
    <row r="334" spans="1:12" x14ac:dyDescent="0.25">
      <c r="A334" t="s">
        <v>233</v>
      </c>
      <c r="B334" t="s">
        <v>328</v>
      </c>
      <c r="C334" t="s">
        <v>346</v>
      </c>
      <c r="D334" t="s">
        <v>290</v>
      </c>
      <c r="E334" t="s">
        <v>292</v>
      </c>
      <c r="F334" t="s">
        <v>300</v>
      </c>
      <c r="G334" t="s">
        <v>308</v>
      </c>
      <c r="H334">
        <v>4</v>
      </c>
      <c r="I334">
        <v>424</v>
      </c>
      <c r="J334" s="2">
        <v>1696</v>
      </c>
      <c r="K334" t="s">
        <v>312</v>
      </c>
      <c r="L334" t="s">
        <v>315</v>
      </c>
    </row>
    <row r="335" spans="1:12" x14ac:dyDescent="0.25">
      <c r="A335" t="s">
        <v>234</v>
      </c>
      <c r="B335" t="s">
        <v>319</v>
      </c>
      <c r="C335" t="s">
        <v>338</v>
      </c>
      <c r="D335" t="s">
        <v>289</v>
      </c>
      <c r="E335" t="s">
        <v>298</v>
      </c>
      <c r="F335" t="s">
        <v>302</v>
      </c>
      <c r="G335" t="s">
        <v>310</v>
      </c>
      <c r="H335">
        <v>19</v>
      </c>
      <c r="I335">
        <v>835</v>
      </c>
      <c r="J335" s="2">
        <v>15865</v>
      </c>
      <c r="K335" t="s">
        <v>314</v>
      </c>
      <c r="L335" t="s">
        <v>315</v>
      </c>
    </row>
    <row r="336" spans="1:12" x14ac:dyDescent="0.25">
      <c r="A336" t="s">
        <v>82</v>
      </c>
      <c r="B336" t="s">
        <v>319</v>
      </c>
      <c r="C336" t="s">
        <v>338</v>
      </c>
      <c r="D336" t="s">
        <v>290</v>
      </c>
      <c r="E336" t="s">
        <v>299</v>
      </c>
      <c r="F336" t="s">
        <v>307</v>
      </c>
      <c r="G336" t="s">
        <v>309</v>
      </c>
      <c r="H336">
        <v>10</v>
      </c>
      <c r="I336">
        <v>337</v>
      </c>
      <c r="J336" s="2">
        <v>3370</v>
      </c>
      <c r="K336" t="s">
        <v>311</v>
      </c>
      <c r="L336" t="s">
        <v>316</v>
      </c>
    </row>
    <row r="337" spans="1:12" x14ac:dyDescent="0.25">
      <c r="A337" t="s">
        <v>209</v>
      </c>
      <c r="B337" t="s">
        <v>322</v>
      </c>
      <c r="C337" t="s">
        <v>341</v>
      </c>
      <c r="D337" t="s">
        <v>291</v>
      </c>
      <c r="E337" t="s">
        <v>293</v>
      </c>
      <c r="F337" t="s">
        <v>301</v>
      </c>
      <c r="G337" t="s">
        <v>309</v>
      </c>
      <c r="H337">
        <v>16</v>
      </c>
      <c r="I337">
        <v>329</v>
      </c>
      <c r="J337" s="2">
        <v>5264</v>
      </c>
      <c r="K337" t="s">
        <v>311</v>
      </c>
      <c r="L337" t="s">
        <v>316</v>
      </c>
    </row>
    <row r="338" spans="1:12" x14ac:dyDescent="0.25">
      <c r="A338" t="s">
        <v>235</v>
      </c>
      <c r="B338" t="s">
        <v>324</v>
      </c>
      <c r="C338" t="s">
        <v>343</v>
      </c>
      <c r="D338" t="s">
        <v>289</v>
      </c>
      <c r="E338" t="s">
        <v>299</v>
      </c>
      <c r="F338" t="s">
        <v>304</v>
      </c>
      <c r="G338" t="s">
        <v>310</v>
      </c>
      <c r="H338">
        <v>14</v>
      </c>
      <c r="I338">
        <v>959</v>
      </c>
      <c r="J338" s="2">
        <v>13426</v>
      </c>
      <c r="K338" t="s">
        <v>314</v>
      </c>
      <c r="L338" t="s">
        <v>315</v>
      </c>
    </row>
    <row r="339" spans="1:12" x14ac:dyDescent="0.25">
      <c r="A339" t="s">
        <v>236</v>
      </c>
      <c r="B339" t="s">
        <v>321</v>
      </c>
      <c r="C339" t="s">
        <v>340</v>
      </c>
      <c r="D339" t="s">
        <v>290</v>
      </c>
      <c r="E339" t="s">
        <v>292</v>
      </c>
      <c r="F339" t="s">
        <v>301</v>
      </c>
      <c r="G339" t="s">
        <v>309</v>
      </c>
      <c r="H339">
        <v>2</v>
      </c>
      <c r="I339">
        <v>612</v>
      </c>
      <c r="J339" s="2">
        <v>1224</v>
      </c>
      <c r="K339" t="s">
        <v>311</v>
      </c>
      <c r="L339" t="s">
        <v>316</v>
      </c>
    </row>
    <row r="340" spans="1:12" x14ac:dyDescent="0.25">
      <c r="A340" t="s">
        <v>61</v>
      </c>
      <c r="B340" t="s">
        <v>320</v>
      </c>
      <c r="C340" t="s">
        <v>339</v>
      </c>
      <c r="D340" t="s">
        <v>289</v>
      </c>
      <c r="E340" t="s">
        <v>296</v>
      </c>
      <c r="F340" t="s">
        <v>304</v>
      </c>
      <c r="G340" t="s">
        <v>310</v>
      </c>
      <c r="H340">
        <v>19</v>
      </c>
      <c r="I340">
        <v>283</v>
      </c>
      <c r="J340" s="2">
        <v>5377</v>
      </c>
      <c r="K340" t="s">
        <v>312</v>
      </c>
      <c r="L340" t="s">
        <v>316</v>
      </c>
    </row>
    <row r="341" spans="1:12" x14ac:dyDescent="0.25">
      <c r="A341" t="s">
        <v>69</v>
      </c>
      <c r="B341" t="s">
        <v>324</v>
      </c>
      <c r="C341" t="s">
        <v>343</v>
      </c>
      <c r="D341" t="s">
        <v>289</v>
      </c>
      <c r="E341" t="s">
        <v>297</v>
      </c>
      <c r="F341" t="s">
        <v>301</v>
      </c>
      <c r="G341" t="s">
        <v>309</v>
      </c>
      <c r="H341">
        <v>14</v>
      </c>
      <c r="I341">
        <v>259</v>
      </c>
      <c r="J341" s="2">
        <v>3626</v>
      </c>
      <c r="K341" t="s">
        <v>311</v>
      </c>
      <c r="L341" t="s">
        <v>316</v>
      </c>
    </row>
    <row r="342" spans="1:12" x14ac:dyDescent="0.25">
      <c r="A342" t="s">
        <v>200</v>
      </c>
      <c r="B342" t="s">
        <v>325</v>
      </c>
      <c r="C342" t="s">
        <v>344</v>
      </c>
      <c r="D342" t="s">
        <v>291</v>
      </c>
      <c r="E342" t="s">
        <v>295</v>
      </c>
      <c r="F342" t="s">
        <v>304</v>
      </c>
      <c r="G342" t="s">
        <v>310</v>
      </c>
      <c r="H342">
        <v>3</v>
      </c>
      <c r="I342">
        <v>949</v>
      </c>
      <c r="J342" s="2">
        <v>2847</v>
      </c>
      <c r="K342" t="s">
        <v>313</v>
      </c>
      <c r="L342" t="s">
        <v>315</v>
      </c>
    </row>
    <row r="343" spans="1:12" x14ac:dyDescent="0.25">
      <c r="A343" t="s">
        <v>237</v>
      </c>
      <c r="B343" t="s">
        <v>327</v>
      </c>
      <c r="C343" t="s">
        <v>345</v>
      </c>
      <c r="D343" t="s">
        <v>289</v>
      </c>
      <c r="E343" t="s">
        <v>298</v>
      </c>
      <c r="F343" t="s">
        <v>305</v>
      </c>
      <c r="G343" t="s">
        <v>310</v>
      </c>
      <c r="H343">
        <v>20</v>
      </c>
      <c r="I343">
        <v>335</v>
      </c>
      <c r="J343" s="2">
        <v>6700</v>
      </c>
      <c r="K343" t="s">
        <v>311</v>
      </c>
      <c r="L343" t="s">
        <v>315</v>
      </c>
    </row>
    <row r="344" spans="1:12" x14ac:dyDescent="0.25">
      <c r="A344" t="s">
        <v>238</v>
      </c>
      <c r="B344" t="s">
        <v>325</v>
      </c>
      <c r="C344" t="s">
        <v>344</v>
      </c>
      <c r="D344" t="s">
        <v>291</v>
      </c>
      <c r="E344" t="s">
        <v>298</v>
      </c>
      <c r="F344" t="s">
        <v>305</v>
      </c>
      <c r="G344" t="s">
        <v>310</v>
      </c>
      <c r="H344">
        <v>11</v>
      </c>
      <c r="I344">
        <v>1491</v>
      </c>
      <c r="J344" s="2">
        <v>16401</v>
      </c>
      <c r="K344" t="s">
        <v>312</v>
      </c>
      <c r="L344" t="s">
        <v>316</v>
      </c>
    </row>
    <row r="345" spans="1:12" x14ac:dyDescent="0.25">
      <c r="A345" t="s">
        <v>171</v>
      </c>
      <c r="B345" t="s">
        <v>324</v>
      </c>
      <c r="C345" t="s">
        <v>343</v>
      </c>
      <c r="D345" t="s">
        <v>288</v>
      </c>
      <c r="E345" t="s">
        <v>298</v>
      </c>
      <c r="F345" t="s">
        <v>303</v>
      </c>
      <c r="G345" t="s">
        <v>309</v>
      </c>
      <c r="H345">
        <v>14</v>
      </c>
      <c r="I345">
        <v>171</v>
      </c>
      <c r="J345" s="2">
        <v>2394</v>
      </c>
      <c r="K345" t="s">
        <v>312</v>
      </c>
      <c r="L345" t="s">
        <v>315</v>
      </c>
    </row>
    <row r="346" spans="1:12" x14ac:dyDescent="0.25">
      <c r="A346" t="s">
        <v>239</v>
      </c>
      <c r="B346" t="s">
        <v>318</v>
      </c>
      <c r="C346" t="s">
        <v>337</v>
      </c>
      <c r="D346" t="s">
        <v>290</v>
      </c>
      <c r="E346" t="s">
        <v>298</v>
      </c>
      <c r="F346" t="s">
        <v>307</v>
      </c>
      <c r="G346" t="s">
        <v>309</v>
      </c>
      <c r="H346">
        <v>11</v>
      </c>
      <c r="I346">
        <v>556</v>
      </c>
      <c r="J346" s="2">
        <v>6116</v>
      </c>
      <c r="K346" t="s">
        <v>314</v>
      </c>
      <c r="L346" t="s">
        <v>316</v>
      </c>
    </row>
    <row r="347" spans="1:12" x14ac:dyDescent="0.25">
      <c r="A347" t="s">
        <v>240</v>
      </c>
      <c r="B347" t="s">
        <v>320</v>
      </c>
      <c r="C347" t="s">
        <v>339</v>
      </c>
      <c r="D347" t="s">
        <v>289</v>
      </c>
      <c r="E347" t="s">
        <v>294</v>
      </c>
      <c r="F347" t="s">
        <v>303</v>
      </c>
      <c r="G347" t="s">
        <v>309</v>
      </c>
      <c r="H347">
        <v>15</v>
      </c>
      <c r="I347">
        <v>204</v>
      </c>
      <c r="J347" s="2">
        <v>3060</v>
      </c>
      <c r="K347" t="s">
        <v>313</v>
      </c>
      <c r="L347" t="s">
        <v>316</v>
      </c>
    </row>
    <row r="348" spans="1:12" x14ac:dyDescent="0.25">
      <c r="A348" t="s">
        <v>32</v>
      </c>
      <c r="B348" t="s">
        <v>319</v>
      </c>
      <c r="C348" t="s">
        <v>338</v>
      </c>
      <c r="D348" t="s">
        <v>291</v>
      </c>
      <c r="E348" t="s">
        <v>299</v>
      </c>
      <c r="F348" t="s">
        <v>303</v>
      </c>
      <c r="G348" t="s">
        <v>309</v>
      </c>
      <c r="H348">
        <v>16</v>
      </c>
      <c r="I348">
        <v>720</v>
      </c>
      <c r="J348" s="2">
        <v>11520</v>
      </c>
      <c r="K348" t="s">
        <v>313</v>
      </c>
      <c r="L348" t="s">
        <v>315</v>
      </c>
    </row>
    <row r="349" spans="1:12" x14ac:dyDescent="0.25">
      <c r="A349" t="s">
        <v>223</v>
      </c>
      <c r="B349" t="s">
        <v>322</v>
      </c>
      <c r="C349" t="s">
        <v>341</v>
      </c>
      <c r="D349" t="s">
        <v>288</v>
      </c>
      <c r="E349" t="s">
        <v>294</v>
      </c>
      <c r="F349" t="s">
        <v>305</v>
      </c>
      <c r="G349" t="s">
        <v>310</v>
      </c>
      <c r="H349">
        <v>7</v>
      </c>
      <c r="I349">
        <v>929</v>
      </c>
      <c r="J349" s="2">
        <v>6503</v>
      </c>
      <c r="K349" t="s">
        <v>311</v>
      </c>
      <c r="L349" t="s">
        <v>316</v>
      </c>
    </row>
    <row r="350" spans="1:12" x14ac:dyDescent="0.25">
      <c r="A350" t="s">
        <v>222</v>
      </c>
      <c r="B350" t="s">
        <v>326</v>
      </c>
      <c r="C350" t="s">
        <v>326</v>
      </c>
      <c r="D350" t="s">
        <v>291</v>
      </c>
      <c r="E350" t="s">
        <v>295</v>
      </c>
      <c r="F350" t="s">
        <v>305</v>
      </c>
      <c r="G350" t="s">
        <v>310</v>
      </c>
      <c r="H350">
        <v>18</v>
      </c>
      <c r="I350">
        <v>1233</v>
      </c>
      <c r="J350" s="2">
        <v>22194</v>
      </c>
      <c r="K350" t="s">
        <v>311</v>
      </c>
      <c r="L350" t="s">
        <v>316</v>
      </c>
    </row>
    <row r="351" spans="1:12" x14ac:dyDescent="0.25">
      <c r="A351" t="s">
        <v>241</v>
      </c>
      <c r="B351" t="s">
        <v>328</v>
      </c>
      <c r="C351" t="s">
        <v>346</v>
      </c>
      <c r="D351" t="s">
        <v>288</v>
      </c>
      <c r="E351" t="s">
        <v>296</v>
      </c>
      <c r="F351" t="s">
        <v>301</v>
      </c>
      <c r="G351" t="s">
        <v>309</v>
      </c>
      <c r="H351">
        <v>15</v>
      </c>
      <c r="I351">
        <v>83</v>
      </c>
      <c r="J351" s="2">
        <v>1245</v>
      </c>
      <c r="K351" t="s">
        <v>313</v>
      </c>
      <c r="L351" t="s">
        <v>315</v>
      </c>
    </row>
    <row r="352" spans="1:12" x14ac:dyDescent="0.25">
      <c r="A352" t="s">
        <v>111</v>
      </c>
      <c r="B352" t="s">
        <v>322</v>
      </c>
      <c r="C352" t="s">
        <v>341</v>
      </c>
      <c r="D352" t="s">
        <v>288</v>
      </c>
      <c r="E352" t="s">
        <v>294</v>
      </c>
      <c r="F352" t="s">
        <v>304</v>
      </c>
      <c r="G352" t="s">
        <v>310</v>
      </c>
      <c r="H352">
        <v>7</v>
      </c>
      <c r="I352">
        <v>1460</v>
      </c>
      <c r="J352" s="2">
        <v>10220</v>
      </c>
      <c r="K352" t="s">
        <v>311</v>
      </c>
      <c r="L352" t="s">
        <v>316</v>
      </c>
    </row>
    <row r="353" spans="1:12" x14ac:dyDescent="0.25">
      <c r="A353" t="s">
        <v>13</v>
      </c>
      <c r="B353" t="s">
        <v>320</v>
      </c>
      <c r="C353" t="s">
        <v>339</v>
      </c>
      <c r="D353" t="s">
        <v>288</v>
      </c>
      <c r="E353" t="s">
        <v>295</v>
      </c>
      <c r="F353" t="s">
        <v>303</v>
      </c>
      <c r="G353" t="s">
        <v>309</v>
      </c>
      <c r="H353">
        <v>9</v>
      </c>
      <c r="I353">
        <v>218</v>
      </c>
      <c r="J353" s="2">
        <v>1962</v>
      </c>
      <c r="K353" t="s">
        <v>312</v>
      </c>
      <c r="L353" t="s">
        <v>315</v>
      </c>
    </row>
    <row r="354" spans="1:12" x14ac:dyDescent="0.25">
      <c r="A354" t="s">
        <v>47</v>
      </c>
      <c r="B354" t="s">
        <v>325</v>
      </c>
      <c r="C354" t="s">
        <v>344</v>
      </c>
      <c r="D354" t="s">
        <v>291</v>
      </c>
      <c r="E354" t="s">
        <v>297</v>
      </c>
      <c r="F354" t="s">
        <v>302</v>
      </c>
      <c r="G354" t="s">
        <v>310</v>
      </c>
      <c r="H354">
        <v>14</v>
      </c>
      <c r="I354">
        <v>1392</v>
      </c>
      <c r="J354" s="2">
        <v>19488</v>
      </c>
      <c r="K354" t="s">
        <v>313</v>
      </c>
      <c r="L354" t="s">
        <v>315</v>
      </c>
    </row>
    <row r="355" spans="1:12" x14ac:dyDescent="0.25">
      <c r="A355" t="s">
        <v>242</v>
      </c>
      <c r="B355" t="s">
        <v>325</v>
      </c>
      <c r="C355" t="s">
        <v>344</v>
      </c>
      <c r="D355" t="s">
        <v>289</v>
      </c>
      <c r="E355" t="s">
        <v>296</v>
      </c>
      <c r="F355" t="s">
        <v>306</v>
      </c>
      <c r="G355" t="s">
        <v>309</v>
      </c>
      <c r="H355">
        <v>5</v>
      </c>
      <c r="I355">
        <v>1265</v>
      </c>
      <c r="J355" s="2">
        <v>6325</v>
      </c>
      <c r="K355" t="s">
        <v>311</v>
      </c>
      <c r="L355" t="s">
        <v>316</v>
      </c>
    </row>
    <row r="356" spans="1:12" x14ac:dyDescent="0.25">
      <c r="A356" t="s">
        <v>120</v>
      </c>
      <c r="B356" t="s">
        <v>325</v>
      </c>
      <c r="C356" t="s">
        <v>344</v>
      </c>
      <c r="D356" t="s">
        <v>291</v>
      </c>
      <c r="E356" t="s">
        <v>296</v>
      </c>
      <c r="F356" t="s">
        <v>301</v>
      </c>
      <c r="G356" t="s">
        <v>309</v>
      </c>
      <c r="H356">
        <v>14</v>
      </c>
      <c r="I356">
        <v>1471</v>
      </c>
      <c r="J356" s="2">
        <v>20594</v>
      </c>
      <c r="K356" t="s">
        <v>311</v>
      </c>
      <c r="L356" t="s">
        <v>316</v>
      </c>
    </row>
    <row r="357" spans="1:12" x14ac:dyDescent="0.25">
      <c r="A357" t="s">
        <v>243</v>
      </c>
      <c r="B357" t="s">
        <v>321</v>
      </c>
      <c r="C357" t="s">
        <v>340</v>
      </c>
      <c r="D357" t="s">
        <v>289</v>
      </c>
      <c r="E357" t="s">
        <v>296</v>
      </c>
      <c r="F357" t="s">
        <v>306</v>
      </c>
      <c r="G357" t="s">
        <v>309</v>
      </c>
      <c r="H357">
        <v>4</v>
      </c>
      <c r="I357">
        <v>261</v>
      </c>
      <c r="J357" s="2">
        <v>1044</v>
      </c>
      <c r="K357" t="s">
        <v>312</v>
      </c>
      <c r="L357" t="s">
        <v>316</v>
      </c>
    </row>
    <row r="358" spans="1:12" x14ac:dyDescent="0.25">
      <c r="A358" t="s">
        <v>213</v>
      </c>
      <c r="B358" t="s">
        <v>328</v>
      </c>
      <c r="C358" t="s">
        <v>346</v>
      </c>
      <c r="D358" t="s">
        <v>289</v>
      </c>
      <c r="E358" t="s">
        <v>298</v>
      </c>
      <c r="F358" t="s">
        <v>307</v>
      </c>
      <c r="G358" t="s">
        <v>309</v>
      </c>
      <c r="H358">
        <v>5</v>
      </c>
      <c r="I358">
        <v>190</v>
      </c>
      <c r="J358" s="2">
        <v>950</v>
      </c>
      <c r="K358" t="s">
        <v>313</v>
      </c>
      <c r="L358" t="s">
        <v>315</v>
      </c>
    </row>
    <row r="359" spans="1:12" x14ac:dyDescent="0.25">
      <c r="A359" t="s">
        <v>111</v>
      </c>
      <c r="B359" t="s">
        <v>322</v>
      </c>
      <c r="C359" t="s">
        <v>341</v>
      </c>
      <c r="D359" t="s">
        <v>290</v>
      </c>
      <c r="E359" t="s">
        <v>298</v>
      </c>
      <c r="F359" t="s">
        <v>305</v>
      </c>
      <c r="G359" t="s">
        <v>310</v>
      </c>
      <c r="H359">
        <v>14</v>
      </c>
      <c r="I359">
        <v>1311</v>
      </c>
      <c r="J359" s="2">
        <v>18354</v>
      </c>
      <c r="K359" t="s">
        <v>314</v>
      </c>
      <c r="L359" t="s">
        <v>315</v>
      </c>
    </row>
    <row r="360" spans="1:12" x14ac:dyDescent="0.25">
      <c r="A360" t="s">
        <v>244</v>
      </c>
      <c r="B360" t="s">
        <v>321</v>
      </c>
      <c r="C360" t="s">
        <v>340</v>
      </c>
      <c r="D360" t="s">
        <v>290</v>
      </c>
      <c r="E360" t="s">
        <v>296</v>
      </c>
      <c r="F360" t="s">
        <v>300</v>
      </c>
      <c r="G360" t="s">
        <v>308</v>
      </c>
      <c r="H360">
        <v>19</v>
      </c>
      <c r="I360">
        <v>836</v>
      </c>
      <c r="J360" s="2">
        <v>15884</v>
      </c>
      <c r="K360" t="s">
        <v>312</v>
      </c>
      <c r="L360" t="s">
        <v>316</v>
      </c>
    </row>
    <row r="361" spans="1:12" x14ac:dyDescent="0.25">
      <c r="A361" t="s">
        <v>42</v>
      </c>
      <c r="B361" t="s">
        <v>328</v>
      </c>
      <c r="C361" t="s">
        <v>346</v>
      </c>
      <c r="D361" t="s">
        <v>290</v>
      </c>
      <c r="E361" t="s">
        <v>292</v>
      </c>
      <c r="F361" t="s">
        <v>307</v>
      </c>
      <c r="G361" t="s">
        <v>309</v>
      </c>
      <c r="H361">
        <v>3</v>
      </c>
      <c r="I361">
        <v>558</v>
      </c>
      <c r="J361" s="2">
        <v>1674</v>
      </c>
      <c r="K361" t="s">
        <v>312</v>
      </c>
      <c r="L361" t="s">
        <v>315</v>
      </c>
    </row>
    <row r="362" spans="1:12" x14ac:dyDescent="0.25">
      <c r="A362" t="s">
        <v>28</v>
      </c>
      <c r="B362" t="s">
        <v>318</v>
      </c>
      <c r="C362" t="s">
        <v>337</v>
      </c>
      <c r="D362" t="s">
        <v>290</v>
      </c>
      <c r="E362" t="s">
        <v>297</v>
      </c>
      <c r="F362" t="s">
        <v>303</v>
      </c>
      <c r="G362" t="s">
        <v>309</v>
      </c>
      <c r="H362">
        <v>13</v>
      </c>
      <c r="I362">
        <v>655</v>
      </c>
      <c r="J362" s="2">
        <v>8515</v>
      </c>
      <c r="K362" t="s">
        <v>313</v>
      </c>
      <c r="L362" t="s">
        <v>315</v>
      </c>
    </row>
    <row r="363" spans="1:12" x14ac:dyDescent="0.25">
      <c r="A363" t="s">
        <v>245</v>
      </c>
      <c r="B363" t="s">
        <v>319</v>
      </c>
      <c r="C363" t="s">
        <v>338</v>
      </c>
      <c r="D363" t="s">
        <v>288</v>
      </c>
      <c r="E363" t="s">
        <v>297</v>
      </c>
      <c r="F363" t="s">
        <v>302</v>
      </c>
      <c r="G363" t="s">
        <v>310</v>
      </c>
      <c r="H363">
        <v>16</v>
      </c>
      <c r="I363">
        <v>1356</v>
      </c>
      <c r="J363" s="2">
        <v>21696</v>
      </c>
      <c r="K363" t="s">
        <v>313</v>
      </c>
      <c r="L363" t="s">
        <v>315</v>
      </c>
    </row>
    <row r="364" spans="1:12" x14ac:dyDescent="0.25">
      <c r="A364" t="s">
        <v>88</v>
      </c>
      <c r="B364" t="s">
        <v>323</v>
      </c>
      <c r="C364" t="s">
        <v>342</v>
      </c>
      <c r="D364" t="s">
        <v>290</v>
      </c>
      <c r="E364" t="s">
        <v>294</v>
      </c>
      <c r="F364" t="s">
        <v>305</v>
      </c>
      <c r="G364" t="s">
        <v>310</v>
      </c>
      <c r="H364">
        <v>19</v>
      </c>
      <c r="I364">
        <v>911</v>
      </c>
      <c r="J364" s="2">
        <v>17309</v>
      </c>
      <c r="K364" t="s">
        <v>312</v>
      </c>
      <c r="L364" t="s">
        <v>315</v>
      </c>
    </row>
    <row r="365" spans="1:12" x14ac:dyDescent="0.25">
      <c r="A365" t="s">
        <v>246</v>
      </c>
      <c r="B365" t="s">
        <v>322</v>
      </c>
      <c r="C365" t="s">
        <v>341</v>
      </c>
      <c r="D365" t="s">
        <v>288</v>
      </c>
      <c r="E365" t="s">
        <v>296</v>
      </c>
      <c r="F365" t="s">
        <v>300</v>
      </c>
      <c r="G365" t="s">
        <v>308</v>
      </c>
      <c r="H365">
        <v>1</v>
      </c>
      <c r="I365">
        <v>586</v>
      </c>
      <c r="J365" s="2">
        <v>586</v>
      </c>
      <c r="K365" t="s">
        <v>311</v>
      </c>
      <c r="L365" t="s">
        <v>315</v>
      </c>
    </row>
    <row r="366" spans="1:12" x14ac:dyDescent="0.25">
      <c r="A366" t="s">
        <v>238</v>
      </c>
      <c r="B366" t="s">
        <v>325</v>
      </c>
      <c r="C366" t="s">
        <v>344</v>
      </c>
      <c r="D366" t="s">
        <v>291</v>
      </c>
      <c r="E366" t="s">
        <v>294</v>
      </c>
      <c r="F366" t="s">
        <v>302</v>
      </c>
      <c r="G366" t="s">
        <v>310</v>
      </c>
      <c r="H366">
        <v>14</v>
      </c>
      <c r="I366">
        <v>1487</v>
      </c>
      <c r="J366" s="2">
        <v>20818</v>
      </c>
      <c r="K366" t="s">
        <v>314</v>
      </c>
      <c r="L366" t="s">
        <v>315</v>
      </c>
    </row>
    <row r="367" spans="1:12" x14ac:dyDescent="0.25">
      <c r="A367" t="s">
        <v>10</v>
      </c>
      <c r="B367" t="s">
        <v>317</v>
      </c>
      <c r="C367" t="s">
        <v>336</v>
      </c>
      <c r="D367" t="s">
        <v>291</v>
      </c>
      <c r="E367" t="s">
        <v>296</v>
      </c>
      <c r="F367" t="s">
        <v>307</v>
      </c>
      <c r="G367" t="s">
        <v>309</v>
      </c>
      <c r="H367">
        <v>10</v>
      </c>
      <c r="I367">
        <v>211</v>
      </c>
      <c r="J367" s="2">
        <v>2110</v>
      </c>
      <c r="K367" t="s">
        <v>311</v>
      </c>
      <c r="L367" t="s">
        <v>315</v>
      </c>
    </row>
    <row r="368" spans="1:12" x14ac:dyDescent="0.25">
      <c r="A368" t="s">
        <v>181</v>
      </c>
      <c r="B368" t="s">
        <v>324</v>
      </c>
      <c r="C368" t="s">
        <v>343</v>
      </c>
      <c r="D368" t="s">
        <v>289</v>
      </c>
      <c r="E368" t="s">
        <v>296</v>
      </c>
      <c r="F368" t="s">
        <v>305</v>
      </c>
      <c r="G368" t="s">
        <v>310</v>
      </c>
      <c r="H368">
        <v>10</v>
      </c>
      <c r="I368">
        <v>1480</v>
      </c>
      <c r="J368" s="2">
        <v>14800</v>
      </c>
      <c r="K368" t="s">
        <v>314</v>
      </c>
      <c r="L368" t="s">
        <v>315</v>
      </c>
    </row>
    <row r="369" spans="1:12" x14ac:dyDescent="0.25">
      <c r="A369" t="s">
        <v>27</v>
      </c>
      <c r="B369" t="s">
        <v>325</v>
      </c>
      <c r="C369" t="s">
        <v>344</v>
      </c>
      <c r="D369" t="s">
        <v>288</v>
      </c>
      <c r="E369" t="s">
        <v>294</v>
      </c>
      <c r="F369" t="s">
        <v>306</v>
      </c>
      <c r="G369" t="s">
        <v>309</v>
      </c>
      <c r="H369">
        <v>4</v>
      </c>
      <c r="I369">
        <v>978</v>
      </c>
      <c r="J369" s="2">
        <v>3912</v>
      </c>
      <c r="K369" t="s">
        <v>313</v>
      </c>
      <c r="L369" t="s">
        <v>316</v>
      </c>
    </row>
    <row r="370" spans="1:12" x14ac:dyDescent="0.25">
      <c r="A370" t="s">
        <v>50</v>
      </c>
      <c r="B370" t="s">
        <v>318</v>
      </c>
      <c r="C370" t="s">
        <v>337</v>
      </c>
      <c r="D370" t="s">
        <v>288</v>
      </c>
      <c r="E370" t="s">
        <v>293</v>
      </c>
      <c r="F370" t="s">
        <v>307</v>
      </c>
      <c r="G370" t="s">
        <v>309</v>
      </c>
      <c r="H370">
        <v>5</v>
      </c>
      <c r="I370">
        <v>1486</v>
      </c>
      <c r="J370" s="2">
        <v>7430</v>
      </c>
      <c r="K370" t="s">
        <v>313</v>
      </c>
      <c r="L370" t="s">
        <v>315</v>
      </c>
    </row>
    <row r="371" spans="1:12" x14ac:dyDescent="0.25">
      <c r="A371" t="s">
        <v>117</v>
      </c>
      <c r="B371" t="s">
        <v>319</v>
      </c>
      <c r="C371" t="s">
        <v>338</v>
      </c>
      <c r="D371" t="s">
        <v>291</v>
      </c>
      <c r="E371" t="s">
        <v>298</v>
      </c>
      <c r="F371" t="s">
        <v>305</v>
      </c>
      <c r="G371" t="s">
        <v>310</v>
      </c>
      <c r="H371">
        <v>12</v>
      </c>
      <c r="I371">
        <v>309</v>
      </c>
      <c r="J371" s="2">
        <v>3708</v>
      </c>
      <c r="K371" t="s">
        <v>312</v>
      </c>
      <c r="L371" t="s">
        <v>315</v>
      </c>
    </row>
    <row r="372" spans="1:12" x14ac:dyDescent="0.25">
      <c r="A372" t="s">
        <v>218</v>
      </c>
      <c r="B372" t="s">
        <v>325</v>
      </c>
      <c r="C372" t="s">
        <v>344</v>
      </c>
      <c r="D372" t="s">
        <v>289</v>
      </c>
      <c r="E372" t="s">
        <v>292</v>
      </c>
      <c r="F372" t="s">
        <v>305</v>
      </c>
      <c r="G372" t="s">
        <v>310</v>
      </c>
      <c r="H372">
        <v>17</v>
      </c>
      <c r="I372">
        <v>180</v>
      </c>
      <c r="J372" s="2">
        <v>3060</v>
      </c>
      <c r="K372" t="s">
        <v>312</v>
      </c>
      <c r="L372" t="s">
        <v>315</v>
      </c>
    </row>
    <row r="373" spans="1:12" x14ac:dyDescent="0.25">
      <c r="A373" t="s">
        <v>117</v>
      </c>
      <c r="B373" t="s">
        <v>319</v>
      </c>
      <c r="C373" t="s">
        <v>338</v>
      </c>
      <c r="D373" t="s">
        <v>291</v>
      </c>
      <c r="E373" t="s">
        <v>293</v>
      </c>
      <c r="F373" t="s">
        <v>304</v>
      </c>
      <c r="G373" t="s">
        <v>310</v>
      </c>
      <c r="H373">
        <v>16</v>
      </c>
      <c r="I373">
        <v>1210</v>
      </c>
      <c r="J373" s="2">
        <v>19360</v>
      </c>
      <c r="K373" t="s">
        <v>311</v>
      </c>
      <c r="L373" t="s">
        <v>316</v>
      </c>
    </row>
    <row r="374" spans="1:12" x14ac:dyDescent="0.25">
      <c r="A374" t="s">
        <v>247</v>
      </c>
      <c r="B374" t="s">
        <v>320</v>
      </c>
      <c r="C374" t="s">
        <v>339</v>
      </c>
      <c r="D374" t="s">
        <v>288</v>
      </c>
      <c r="E374" t="s">
        <v>296</v>
      </c>
      <c r="F374" t="s">
        <v>303</v>
      </c>
      <c r="G374" t="s">
        <v>309</v>
      </c>
      <c r="H374">
        <v>8</v>
      </c>
      <c r="I374">
        <v>1092</v>
      </c>
      <c r="J374" s="2">
        <v>8736</v>
      </c>
      <c r="K374" t="s">
        <v>313</v>
      </c>
      <c r="L374" t="s">
        <v>315</v>
      </c>
    </row>
    <row r="375" spans="1:12" x14ac:dyDescent="0.25">
      <c r="A375" t="s">
        <v>248</v>
      </c>
      <c r="B375" t="s">
        <v>325</v>
      </c>
      <c r="C375" t="s">
        <v>344</v>
      </c>
      <c r="D375" t="s">
        <v>288</v>
      </c>
      <c r="E375" t="s">
        <v>299</v>
      </c>
      <c r="F375" t="s">
        <v>306</v>
      </c>
      <c r="G375" t="s">
        <v>309</v>
      </c>
      <c r="H375">
        <v>12</v>
      </c>
      <c r="I375">
        <v>834</v>
      </c>
      <c r="J375" s="2">
        <v>10008</v>
      </c>
      <c r="K375" t="s">
        <v>311</v>
      </c>
      <c r="L375" t="s">
        <v>315</v>
      </c>
    </row>
    <row r="376" spans="1:12" x14ac:dyDescent="0.25">
      <c r="A376" t="s">
        <v>166</v>
      </c>
      <c r="B376" t="s">
        <v>325</v>
      </c>
      <c r="C376" t="s">
        <v>344</v>
      </c>
      <c r="D376" t="s">
        <v>290</v>
      </c>
      <c r="E376" t="s">
        <v>295</v>
      </c>
      <c r="F376" t="s">
        <v>302</v>
      </c>
      <c r="G376" t="s">
        <v>310</v>
      </c>
      <c r="H376">
        <v>8</v>
      </c>
      <c r="I376">
        <v>902</v>
      </c>
      <c r="J376" s="2">
        <v>7216</v>
      </c>
      <c r="K376" t="s">
        <v>312</v>
      </c>
      <c r="L376" t="s">
        <v>316</v>
      </c>
    </row>
    <row r="377" spans="1:12" x14ac:dyDescent="0.25">
      <c r="A377" t="s">
        <v>249</v>
      </c>
      <c r="B377" t="s">
        <v>321</v>
      </c>
      <c r="C377" t="s">
        <v>340</v>
      </c>
      <c r="D377" t="s">
        <v>288</v>
      </c>
      <c r="E377" t="s">
        <v>293</v>
      </c>
      <c r="F377" t="s">
        <v>305</v>
      </c>
      <c r="G377" t="s">
        <v>310</v>
      </c>
      <c r="H377">
        <v>6</v>
      </c>
      <c r="I377">
        <v>507</v>
      </c>
      <c r="J377" s="2">
        <v>3042</v>
      </c>
      <c r="K377" t="s">
        <v>313</v>
      </c>
      <c r="L377" t="s">
        <v>316</v>
      </c>
    </row>
    <row r="378" spans="1:12" x14ac:dyDescent="0.25">
      <c r="A378" t="s">
        <v>79</v>
      </c>
      <c r="B378" t="s">
        <v>321</v>
      </c>
      <c r="C378" t="s">
        <v>340</v>
      </c>
      <c r="D378" t="s">
        <v>291</v>
      </c>
      <c r="E378" t="s">
        <v>292</v>
      </c>
      <c r="F378" t="s">
        <v>304</v>
      </c>
      <c r="G378" t="s">
        <v>310</v>
      </c>
      <c r="H378">
        <v>11</v>
      </c>
      <c r="I378">
        <v>226</v>
      </c>
      <c r="J378" s="2">
        <v>2486</v>
      </c>
      <c r="K378" t="s">
        <v>314</v>
      </c>
      <c r="L378" t="s">
        <v>315</v>
      </c>
    </row>
    <row r="379" spans="1:12" x14ac:dyDescent="0.25">
      <c r="A379" t="s">
        <v>77</v>
      </c>
      <c r="B379" t="s">
        <v>323</v>
      </c>
      <c r="C379" t="s">
        <v>342</v>
      </c>
      <c r="D379" t="s">
        <v>291</v>
      </c>
      <c r="E379" t="s">
        <v>292</v>
      </c>
      <c r="F379" t="s">
        <v>306</v>
      </c>
      <c r="G379" t="s">
        <v>309</v>
      </c>
      <c r="H379">
        <v>20</v>
      </c>
      <c r="I379">
        <v>546</v>
      </c>
      <c r="J379" s="2">
        <v>10920</v>
      </c>
      <c r="K379" t="s">
        <v>314</v>
      </c>
      <c r="L379" t="s">
        <v>316</v>
      </c>
    </row>
    <row r="380" spans="1:12" x14ac:dyDescent="0.25">
      <c r="A380" t="s">
        <v>250</v>
      </c>
      <c r="B380" t="s">
        <v>324</v>
      </c>
      <c r="C380" t="s">
        <v>343</v>
      </c>
      <c r="D380" t="s">
        <v>290</v>
      </c>
      <c r="E380" t="s">
        <v>297</v>
      </c>
      <c r="F380" t="s">
        <v>304</v>
      </c>
      <c r="G380" t="s">
        <v>310</v>
      </c>
      <c r="H380">
        <v>5</v>
      </c>
      <c r="I380">
        <v>63</v>
      </c>
      <c r="J380" s="2">
        <v>315</v>
      </c>
      <c r="K380" t="s">
        <v>314</v>
      </c>
      <c r="L380" t="s">
        <v>315</v>
      </c>
    </row>
    <row r="381" spans="1:12" x14ac:dyDescent="0.25">
      <c r="A381" t="s">
        <v>110</v>
      </c>
      <c r="B381" t="s">
        <v>327</v>
      </c>
      <c r="C381" t="s">
        <v>345</v>
      </c>
      <c r="D381" t="s">
        <v>288</v>
      </c>
      <c r="E381" t="s">
        <v>295</v>
      </c>
      <c r="F381" t="s">
        <v>305</v>
      </c>
      <c r="G381" t="s">
        <v>310</v>
      </c>
      <c r="H381">
        <v>1</v>
      </c>
      <c r="I381">
        <v>1396</v>
      </c>
      <c r="J381" s="2">
        <v>1396</v>
      </c>
      <c r="K381" t="s">
        <v>314</v>
      </c>
      <c r="L381" t="s">
        <v>316</v>
      </c>
    </row>
    <row r="382" spans="1:12" x14ac:dyDescent="0.25">
      <c r="A382" t="s">
        <v>251</v>
      </c>
      <c r="B382" t="s">
        <v>321</v>
      </c>
      <c r="C382" t="s">
        <v>340</v>
      </c>
      <c r="D382" t="s">
        <v>290</v>
      </c>
      <c r="E382" t="s">
        <v>294</v>
      </c>
      <c r="F382" t="s">
        <v>306</v>
      </c>
      <c r="G382" t="s">
        <v>309</v>
      </c>
      <c r="H382">
        <v>16</v>
      </c>
      <c r="I382">
        <v>172</v>
      </c>
      <c r="J382" s="2">
        <v>2752</v>
      </c>
      <c r="K382" t="s">
        <v>311</v>
      </c>
      <c r="L382" t="s">
        <v>316</v>
      </c>
    </row>
    <row r="383" spans="1:12" x14ac:dyDescent="0.25">
      <c r="A383" t="s">
        <v>14</v>
      </c>
      <c r="B383" t="s">
        <v>321</v>
      </c>
      <c r="C383" t="s">
        <v>340</v>
      </c>
      <c r="D383" t="s">
        <v>290</v>
      </c>
      <c r="E383" t="s">
        <v>294</v>
      </c>
      <c r="F383" t="s">
        <v>301</v>
      </c>
      <c r="G383" t="s">
        <v>309</v>
      </c>
      <c r="H383">
        <v>12</v>
      </c>
      <c r="I383">
        <v>988</v>
      </c>
      <c r="J383" s="2">
        <v>11856</v>
      </c>
      <c r="K383" t="s">
        <v>313</v>
      </c>
      <c r="L383" t="s">
        <v>315</v>
      </c>
    </row>
    <row r="384" spans="1:12" x14ac:dyDescent="0.25">
      <c r="A384" t="s">
        <v>12</v>
      </c>
      <c r="B384" t="s">
        <v>319</v>
      </c>
      <c r="C384" t="s">
        <v>338</v>
      </c>
      <c r="D384" t="s">
        <v>289</v>
      </c>
      <c r="E384" t="s">
        <v>296</v>
      </c>
      <c r="F384" t="s">
        <v>307</v>
      </c>
      <c r="G384" t="s">
        <v>309</v>
      </c>
      <c r="H384">
        <v>19</v>
      </c>
      <c r="I384">
        <v>1212</v>
      </c>
      <c r="J384" s="2">
        <v>23028</v>
      </c>
      <c r="K384" t="s">
        <v>313</v>
      </c>
      <c r="L384" t="s">
        <v>316</v>
      </c>
    </row>
    <row r="385" spans="1:12" x14ac:dyDescent="0.25">
      <c r="A385" t="s">
        <v>45</v>
      </c>
      <c r="B385" t="s">
        <v>318</v>
      </c>
      <c r="C385" t="s">
        <v>337</v>
      </c>
      <c r="D385" t="s">
        <v>290</v>
      </c>
      <c r="E385" t="s">
        <v>292</v>
      </c>
      <c r="F385" t="s">
        <v>307</v>
      </c>
      <c r="G385" t="s">
        <v>309</v>
      </c>
      <c r="H385">
        <v>9</v>
      </c>
      <c r="I385">
        <v>695</v>
      </c>
      <c r="J385" s="2">
        <v>6255</v>
      </c>
      <c r="K385" t="s">
        <v>314</v>
      </c>
      <c r="L385" t="s">
        <v>316</v>
      </c>
    </row>
    <row r="386" spans="1:12" x14ac:dyDescent="0.25">
      <c r="A386" t="s">
        <v>188</v>
      </c>
      <c r="B386" t="s">
        <v>328</v>
      </c>
      <c r="C386" t="s">
        <v>346</v>
      </c>
      <c r="D386" t="s">
        <v>291</v>
      </c>
      <c r="E386" t="s">
        <v>297</v>
      </c>
      <c r="F386" t="s">
        <v>304</v>
      </c>
      <c r="G386" t="s">
        <v>310</v>
      </c>
      <c r="H386">
        <v>3</v>
      </c>
      <c r="I386">
        <v>465</v>
      </c>
      <c r="J386" s="2">
        <v>1395</v>
      </c>
      <c r="K386" t="s">
        <v>311</v>
      </c>
      <c r="L386" t="s">
        <v>315</v>
      </c>
    </row>
    <row r="387" spans="1:12" x14ac:dyDescent="0.25">
      <c r="A387" t="s">
        <v>252</v>
      </c>
      <c r="B387" t="s">
        <v>320</v>
      </c>
      <c r="C387" t="s">
        <v>339</v>
      </c>
      <c r="D387" t="s">
        <v>290</v>
      </c>
      <c r="E387" t="s">
        <v>299</v>
      </c>
      <c r="F387" t="s">
        <v>300</v>
      </c>
      <c r="G387" t="s">
        <v>308</v>
      </c>
      <c r="H387">
        <v>15</v>
      </c>
      <c r="I387">
        <v>693</v>
      </c>
      <c r="J387" s="2">
        <v>10395</v>
      </c>
      <c r="K387" t="s">
        <v>314</v>
      </c>
      <c r="L387" t="s">
        <v>315</v>
      </c>
    </row>
    <row r="388" spans="1:12" x14ac:dyDescent="0.25">
      <c r="A388" t="s">
        <v>181</v>
      </c>
      <c r="B388" t="s">
        <v>324</v>
      </c>
      <c r="C388" t="s">
        <v>343</v>
      </c>
      <c r="D388" t="s">
        <v>290</v>
      </c>
      <c r="E388" t="s">
        <v>299</v>
      </c>
      <c r="F388" t="s">
        <v>305</v>
      </c>
      <c r="G388" t="s">
        <v>310</v>
      </c>
      <c r="H388">
        <v>10</v>
      </c>
      <c r="I388">
        <v>998</v>
      </c>
      <c r="J388" s="2">
        <v>9980</v>
      </c>
      <c r="K388" t="s">
        <v>312</v>
      </c>
      <c r="L388" t="s">
        <v>315</v>
      </c>
    </row>
    <row r="389" spans="1:12" x14ac:dyDescent="0.25">
      <c r="A389" t="s">
        <v>114</v>
      </c>
      <c r="B389" t="s">
        <v>321</v>
      </c>
      <c r="C389" t="s">
        <v>340</v>
      </c>
      <c r="D389" t="s">
        <v>291</v>
      </c>
      <c r="E389" t="s">
        <v>293</v>
      </c>
      <c r="F389" t="s">
        <v>307</v>
      </c>
      <c r="G389" t="s">
        <v>309</v>
      </c>
      <c r="H389">
        <v>7</v>
      </c>
      <c r="I389">
        <v>721</v>
      </c>
      <c r="J389" s="2">
        <v>5047</v>
      </c>
      <c r="K389" t="s">
        <v>311</v>
      </c>
      <c r="L389" t="s">
        <v>315</v>
      </c>
    </row>
    <row r="390" spans="1:12" x14ac:dyDescent="0.25">
      <c r="A390" t="s">
        <v>216</v>
      </c>
      <c r="B390" t="s">
        <v>318</v>
      </c>
      <c r="C390" t="s">
        <v>337</v>
      </c>
      <c r="D390" t="s">
        <v>291</v>
      </c>
      <c r="E390" t="s">
        <v>294</v>
      </c>
      <c r="F390" t="s">
        <v>306</v>
      </c>
      <c r="G390" t="s">
        <v>309</v>
      </c>
      <c r="H390">
        <v>17</v>
      </c>
      <c r="I390">
        <v>150</v>
      </c>
      <c r="J390" s="2">
        <v>2550</v>
      </c>
      <c r="K390" t="s">
        <v>312</v>
      </c>
      <c r="L390" t="s">
        <v>316</v>
      </c>
    </row>
    <row r="391" spans="1:12" x14ac:dyDescent="0.25">
      <c r="A391" t="s">
        <v>121</v>
      </c>
      <c r="B391" t="s">
        <v>320</v>
      </c>
      <c r="C391" t="s">
        <v>339</v>
      </c>
      <c r="D391" t="s">
        <v>289</v>
      </c>
      <c r="E391" t="s">
        <v>299</v>
      </c>
      <c r="F391" t="s">
        <v>301</v>
      </c>
      <c r="G391" t="s">
        <v>309</v>
      </c>
      <c r="H391">
        <v>18</v>
      </c>
      <c r="I391">
        <v>1176</v>
      </c>
      <c r="J391" s="2">
        <v>21168</v>
      </c>
      <c r="K391" t="s">
        <v>311</v>
      </c>
      <c r="L391" t="s">
        <v>315</v>
      </c>
    </row>
    <row r="392" spans="1:12" x14ac:dyDescent="0.25">
      <c r="A392" t="s">
        <v>150</v>
      </c>
      <c r="B392" t="s">
        <v>322</v>
      </c>
      <c r="C392" t="s">
        <v>341</v>
      </c>
      <c r="D392" t="s">
        <v>290</v>
      </c>
      <c r="E392" t="s">
        <v>296</v>
      </c>
      <c r="F392" t="s">
        <v>300</v>
      </c>
      <c r="G392" t="s">
        <v>308</v>
      </c>
      <c r="H392">
        <v>1</v>
      </c>
      <c r="I392">
        <v>176</v>
      </c>
      <c r="J392" s="2">
        <v>176</v>
      </c>
      <c r="K392" t="s">
        <v>311</v>
      </c>
      <c r="L392" t="s">
        <v>315</v>
      </c>
    </row>
    <row r="393" spans="1:12" x14ac:dyDescent="0.25">
      <c r="A393" t="s">
        <v>62</v>
      </c>
      <c r="B393" t="s">
        <v>327</v>
      </c>
      <c r="C393" t="s">
        <v>345</v>
      </c>
      <c r="D393" t="s">
        <v>291</v>
      </c>
      <c r="E393" t="s">
        <v>296</v>
      </c>
      <c r="F393" t="s">
        <v>302</v>
      </c>
      <c r="G393" t="s">
        <v>310</v>
      </c>
      <c r="H393">
        <v>19</v>
      </c>
      <c r="I393">
        <v>1250</v>
      </c>
      <c r="J393" s="2">
        <v>23750</v>
      </c>
      <c r="K393" t="s">
        <v>312</v>
      </c>
      <c r="L393" t="s">
        <v>315</v>
      </c>
    </row>
    <row r="394" spans="1:12" x14ac:dyDescent="0.25">
      <c r="A394" t="s">
        <v>253</v>
      </c>
      <c r="B394" t="s">
        <v>325</v>
      </c>
      <c r="C394" t="s">
        <v>344</v>
      </c>
      <c r="D394" t="s">
        <v>290</v>
      </c>
      <c r="E394" t="s">
        <v>299</v>
      </c>
      <c r="F394" t="s">
        <v>300</v>
      </c>
      <c r="G394" t="s">
        <v>308</v>
      </c>
      <c r="H394">
        <v>5</v>
      </c>
      <c r="I394">
        <v>238</v>
      </c>
      <c r="J394" s="2">
        <v>1190</v>
      </c>
      <c r="K394" t="s">
        <v>312</v>
      </c>
      <c r="L394" t="s">
        <v>315</v>
      </c>
    </row>
    <row r="395" spans="1:12" x14ac:dyDescent="0.25">
      <c r="A395" t="s">
        <v>254</v>
      </c>
      <c r="B395" t="s">
        <v>325</v>
      </c>
      <c r="C395" t="s">
        <v>344</v>
      </c>
      <c r="D395" t="s">
        <v>288</v>
      </c>
      <c r="E395" t="s">
        <v>298</v>
      </c>
      <c r="F395" t="s">
        <v>304</v>
      </c>
      <c r="G395" t="s">
        <v>310</v>
      </c>
      <c r="H395">
        <v>19</v>
      </c>
      <c r="I395">
        <v>937</v>
      </c>
      <c r="J395" s="2">
        <v>17803</v>
      </c>
      <c r="K395" t="s">
        <v>314</v>
      </c>
      <c r="L395" t="s">
        <v>316</v>
      </c>
    </row>
    <row r="396" spans="1:12" x14ac:dyDescent="0.25">
      <c r="A396" t="s">
        <v>218</v>
      </c>
      <c r="B396" t="s">
        <v>325</v>
      </c>
      <c r="C396" t="s">
        <v>344</v>
      </c>
      <c r="D396" t="s">
        <v>289</v>
      </c>
      <c r="E396" t="s">
        <v>298</v>
      </c>
      <c r="F396" t="s">
        <v>302</v>
      </c>
      <c r="G396" t="s">
        <v>310</v>
      </c>
      <c r="H396">
        <v>12</v>
      </c>
      <c r="I396">
        <v>489</v>
      </c>
      <c r="J396" s="2">
        <v>5868</v>
      </c>
      <c r="K396" t="s">
        <v>311</v>
      </c>
      <c r="L396" t="s">
        <v>316</v>
      </c>
    </row>
    <row r="397" spans="1:12" x14ac:dyDescent="0.25">
      <c r="A397" t="s">
        <v>255</v>
      </c>
      <c r="B397" t="s">
        <v>326</v>
      </c>
      <c r="C397" t="s">
        <v>326</v>
      </c>
      <c r="D397" t="s">
        <v>290</v>
      </c>
      <c r="E397" t="s">
        <v>293</v>
      </c>
      <c r="F397" t="s">
        <v>304</v>
      </c>
      <c r="G397" t="s">
        <v>310</v>
      </c>
      <c r="H397">
        <v>20</v>
      </c>
      <c r="I397">
        <v>1318</v>
      </c>
      <c r="J397" s="2">
        <v>26360</v>
      </c>
      <c r="K397" t="s">
        <v>311</v>
      </c>
      <c r="L397" t="s">
        <v>316</v>
      </c>
    </row>
    <row r="398" spans="1:12" x14ac:dyDescent="0.25">
      <c r="A398" t="s">
        <v>256</v>
      </c>
      <c r="B398" t="s">
        <v>319</v>
      </c>
      <c r="C398" t="s">
        <v>338</v>
      </c>
      <c r="D398" t="s">
        <v>289</v>
      </c>
      <c r="E398" t="s">
        <v>293</v>
      </c>
      <c r="F398" t="s">
        <v>302</v>
      </c>
      <c r="G398" t="s">
        <v>310</v>
      </c>
      <c r="H398">
        <v>3</v>
      </c>
      <c r="I398">
        <v>622</v>
      </c>
      <c r="J398" s="2">
        <v>1866</v>
      </c>
      <c r="K398" t="s">
        <v>314</v>
      </c>
      <c r="L398" t="s">
        <v>315</v>
      </c>
    </row>
    <row r="399" spans="1:12" x14ac:dyDescent="0.25">
      <c r="A399" t="s">
        <v>139</v>
      </c>
      <c r="B399" t="s">
        <v>322</v>
      </c>
      <c r="C399" t="s">
        <v>341</v>
      </c>
      <c r="D399" t="s">
        <v>290</v>
      </c>
      <c r="E399" t="s">
        <v>293</v>
      </c>
      <c r="F399" t="s">
        <v>306</v>
      </c>
      <c r="G399" t="s">
        <v>309</v>
      </c>
      <c r="H399">
        <v>13</v>
      </c>
      <c r="I399">
        <v>785</v>
      </c>
      <c r="J399" s="2">
        <v>10205</v>
      </c>
      <c r="K399" t="s">
        <v>314</v>
      </c>
      <c r="L399" t="s">
        <v>316</v>
      </c>
    </row>
    <row r="400" spans="1:12" x14ac:dyDescent="0.25">
      <c r="A400" t="s">
        <v>164</v>
      </c>
      <c r="B400" t="s">
        <v>328</v>
      </c>
      <c r="C400" t="s">
        <v>346</v>
      </c>
      <c r="D400" t="s">
        <v>289</v>
      </c>
      <c r="E400" t="s">
        <v>292</v>
      </c>
      <c r="F400" t="s">
        <v>305</v>
      </c>
      <c r="G400" t="s">
        <v>310</v>
      </c>
      <c r="H400">
        <v>6</v>
      </c>
      <c r="I400">
        <v>103</v>
      </c>
      <c r="J400" s="2">
        <v>618</v>
      </c>
      <c r="K400" t="s">
        <v>312</v>
      </c>
      <c r="L400" t="s">
        <v>315</v>
      </c>
    </row>
    <row r="401" spans="1:12" x14ac:dyDescent="0.25">
      <c r="A401" t="s">
        <v>218</v>
      </c>
      <c r="B401" t="s">
        <v>325</v>
      </c>
      <c r="C401" t="s">
        <v>344</v>
      </c>
      <c r="D401" t="s">
        <v>288</v>
      </c>
      <c r="E401" t="s">
        <v>299</v>
      </c>
      <c r="F401" t="s">
        <v>303</v>
      </c>
      <c r="G401" t="s">
        <v>309</v>
      </c>
      <c r="H401">
        <v>17</v>
      </c>
      <c r="I401">
        <v>782</v>
      </c>
      <c r="J401" s="2">
        <v>13294</v>
      </c>
      <c r="K401" t="s">
        <v>311</v>
      </c>
      <c r="L401" t="s">
        <v>315</v>
      </c>
    </row>
    <row r="402" spans="1:12" x14ac:dyDescent="0.25">
      <c r="A402" t="s">
        <v>257</v>
      </c>
      <c r="B402" t="s">
        <v>321</v>
      </c>
      <c r="C402" t="s">
        <v>340</v>
      </c>
      <c r="D402" t="s">
        <v>290</v>
      </c>
      <c r="E402" t="s">
        <v>292</v>
      </c>
      <c r="F402" t="s">
        <v>306</v>
      </c>
      <c r="G402" t="s">
        <v>309</v>
      </c>
      <c r="H402">
        <v>18</v>
      </c>
      <c r="I402">
        <v>164</v>
      </c>
      <c r="J402" s="2">
        <v>2952</v>
      </c>
      <c r="K402" t="s">
        <v>311</v>
      </c>
      <c r="L402" t="s">
        <v>316</v>
      </c>
    </row>
    <row r="403" spans="1:12" x14ac:dyDescent="0.25">
      <c r="A403" t="s">
        <v>258</v>
      </c>
      <c r="B403" t="s">
        <v>328</v>
      </c>
      <c r="C403" t="s">
        <v>346</v>
      </c>
      <c r="D403" t="s">
        <v>290</v>
      </c>
      <c r="E403" t="s">
        <v>297</v>
      </c>
      <c r="F403" t="s">
        <v>307</v>
      </c>
      <c r="G403" t="s">
        <v>309</v>
      </c>
      <c r="H403">
        <v>19</v>
      </c>
      <c r="I403">
        <v>701</v>
      </c>
      <c r="J403" s="2">
        <v>13319</v>
      </c>
      <c r="K403" t="s">
        <v>312</v>
      </c>
      <c r="L403" t="s">
        <v>315</v>
      </c>
    </row>
    <row r="404" spans="1:12" x14ac:dyDescent="0.25">
      <c r="A404" t="s">
        <v>16</v>
      </c>
      <c r="B404" t="s">
        <v>318</v>
      </c>
      <c r="C404" t="s">
        <v>337</v>
      </c>
      <c r="D404" t="s">
        <v>290</v>
      </c>
      <c r="E404" t="s">
        <v>297</v>
      </c>
      <c r="F404" t="s">
        <v>305</v>
      </c>
      <c r="G404" t="s">
        <v>310</v>
      </c>
      <c r="H404">
        <v>16</v>
      </c>
      <c r="I404">
        <v>1160</v>
      </c>
      <c r="J404" s="2">
        <v>18560</v>
      </c>
      <c r="K404" t="s">
        <v>312</v>
      </c>
      <c r="L404" t="s">
        <v>315</v>
      </c>
    </row>
    <row r="405" spans="1:12" x14ac:dyDescent="0.25">
      <c r="A405" t="s">
        <v>259</v>
      </c>
      <c r="B405" t="s">
        <v>319</v>
      </c>
      <c r="C405" t="s">
        <v>338</v>
      </c>
      <c r="D405" t="s">
        <v>288</v>
      </c>
      <c r="E405" t="s">
        <v>293</v>
      </c>
      <c r="F405" t="s">
        <v>301</v>
      </c>
      <c r="G405" t="s">
        <v>309</v>
      </c>
      <c r="H405">
        <v>8</v>
      </c>
      <c r="I405">
        <v>1282</v>
      </c>
      <c r="J405" s="2">
        <v>10256</v>
      </c>
      <c r="K405" t="s">
        <v>311</v>
      </c>
      <c r="L405" t="s">
        <v>315</v>
      </c>
    </row>
    <row r="406" spans="1:12" x14ac:dyDescent="0.25">
      <c r="A406" t="s">
        <v>260</v>
      </c>
      <c r="B406" t="s">
        <v>319</v>
      </c>
      <c r="C406" t="s">
        <v>338</v>
      </c>
      <c r="D406" t="s">
        <v>288</v>
      </c>
      <c r="E406" t="s">
        <v>295</v>
      </c>
      <c r="F406" t="s">
        <v>304</v>
      </c>
      <c r="G406" t="s">
        <v>310</v>
      </c>
      <c r="H406">
        <v>20</v>
      </c>
      <c r="I406">
        <v>462</v>
      </c>
      <c r="J406" s="2">
        <v>9240</v>
      </c>
      <c r="K406" t="s">
        <v>311</v>
      </c>
      <c r="L406" t="s">
        <v>316</v>
      </c>
    </row>
    <row r="407" spans="1:12" x14ac:dyDescent="0.25">
      <c r="A407" t="s">
        <v>51</v>
      </c>
      <c r="B407" t="s">
        <v>320</v>
      </c>
      <c r="C407" t="s">
        <v>339</v>
      </c>
      <c r="D407" t="s">
        <v>288</v>
      </c>
      <c r="E407" t="s">
        <v>293</v>
      </c>
      <c r="F407" t="s">
        <v>305</v>
      </c>
      <c r="G407" t="s">
        <v>310</v>
      </c>
      <c r="H407">
        <v>5</v>
      </c>
      <c r="I407">
        <v>1251</v>
      </c>
      <c r="J407" s="2">
        <v>6255</v>
      </c>
      <c r="K407" t="s">
        <v>311</v>
      </c>
      <c r="L407" t="s">
        <v>315</v>
      </c>
    </row>
    <row r="408" spans="1:12" x14ac:dyDescent="0.25">
      <c r="A408" t="s">
        <v>260</v>
      </c>
      <c r="B408" t="s">
        <v>319</v>
      </c>
      <c r="C408" t="s">
        <v>338</v>
      </c>
      <c r="D408" t="s">
        <v>288</v>
      </c>
      <c r="E408" t="s">
        <v>295</v>
      </c>
      <c r="F408" t="s">
        <v>305</v>
      </c>
      <c r="G408" t="s">
        <v>310</v>
      </c>
      <c r="H408">
        <v>13</v>
      </c>
      <c r="I408">
        <v>1250</v>
      </c>
      <c r="J408" s="2">
        <v>16250</v>
      </c>
      <c r="K408" t="s">
        <v>313</v>
      </c>
      <c r="L408" t="s">
        <v>316</v>
      </c>
    </row>
    <row r="409" spans="1:12" x14ac:dyDescent="0.25">
      <c r="A409" t="s">
        <v>206</v>
      </c>
      <c r="B409" t="s">
        <v>328</v>
      </c>
      <c r="C409" t="s">
        <v>346</v>
      </c>
      <c r="D409" t="s">
        <v>290</v>
      </c>
      <c r="E409" t="s">
        <v>298</v>
      </c>
      <c r="F409" t="s">
        <v>305</v>
      </c>
      <c r="G409" t="s">
        <v>310</v>
      </c>
      <c r="H409">
        <v>14</v>
      </c>
      <c r="I409">
        <v>1359</v>
      </c>
      <c r="J409" s="2">
        <v>19026</v>
      </c>
      <c r="K409" t="s">
        <v>314</v>
      </c>
      <c r="L409" t="s">
        <v>316</v>
      </c>
    </row>
    <row r="410" spans="1:12" x14ac:dyDescent="0.25">
      <c r="A410" t="s">
        <v>121</v>
      </c>
      <c r="B410" t="s">
        <v>320</v>
      </c>
      <c r="C410" t="s">
        <v>339</v>
      </c>
      <c r="D410" t="s">
        <v>290</v>
      </c>
      <c r="E410" t="s">
        <v>298</v>
      </c>
      <c r="F410" t="s">
        <v>305</v>
      </c>
      <c r="G410" t="s">
        <v>310</v>
      </c>
      <c r="H410">
        <v>13</v>
      </c>
      <c r="I410">
        <v>678</v>
      </c>
      <c r="J410" s="2">
        <v>8814</v>
      </c>
      <c r="K410" t="s">
        <v>312</v>
      </c>
      <c r="L410" t="s">
        <v>315</v>
      </c>
    </row>
    <row r="411" spans="1:12" x14ac:dyDescent="0.25">
      <c r="A411" t="s">
        <v>51</v>
      </c>
      <c r="B411" t="s">
        <v>320</v>
      </c>
      <c r="C411" t="s">
        <v>339</v>
      </c>
      <c r="D411" t="s">
        <v>289</v>
      </c>
      <c r="E411" t="s">
        <v>293</v>
      </c>
      <c r="F411" t="s">
        <v>301</v>
      </c>
      <c r="G411" t="s">
        <v>309</v>
      </c>
      <c r="H411">
        <v>6</v>
      </c>
      <c r="I411">
        <v>1283</v>
      </c>
      <c r="J411" s="2">
        <v>7698</v>
      </c>
      <c r="K411" t="s">
        <v>312</v>
      </c>
      <c r="L411" t="s">
        <v>315</v>
      </c>
    </row>
    <row r="412" spans="1:12" x14ac:dyDescent="0.25">
      <c r="A412" t="s">
        <v>10</v>
      </c>
      <c r="B412" t="s">
        <v>317</v>
      </c>
      <c r="C412" t="s">
        <v>336</v>
      </c>
      <c r="D412" t="s">
        <v>289</v>
      </c>
      <c r="E412" t="s">
        <v>298</v>
      </c>
      <c r="F412" t="s">
        <v>300</v>
      </c>
      <c r="G412" t="s">
        <v>308</v>
      </c>
      <c r="H412">
        <v>11</v>
      </c>
      <c r="I412">
        <v>209</v>
      </c>
      <c r="J412" s="2">
        <v>2299</v>
      </c>
      <c r="K412" t="s">
        <v>311</v>
      </c>
      <c r="L412" t="s">
        <v>316</v>
      </c>
    </row>
    <row r="413" spans="1:12" x14ac:dyDescent="0.25">
      <c r="A413" t="s">
        <v>232</v>
      </c>
      <c r="B413" t="s">
        <v>328</v>
      </c>
      <c r="C413" t="s">
        <v>346</v>
      </c>
      <c r="D413" t="s">
        <v>288</v>
      </c>
      <c r="E413" t="s">
        <v>295</v>
      </c>
      <c r="F413" t="s">
        <v>307</v>
      </c>
      <c r="G413" t="s">
        <v>309</v>
      </c>
      <c r="H413">
        <v>15</v>
      </c>
      <c r="I413">
        <v>73</v>
      </c>
      <c r="J413" s="2">
        <v>1095</v>
      </c>
      <c r="K413" t="s">
        <v>312</v>
      </c>
      <c r="L413" t="s">
        <v>315</v>
      </c>
    </row>
    <row r="414" spans="1:12" x14ac:dyDescent="0.25">
      <c r="A414" t="s">
        <v>228</v>
      </c>
      <c r="B414" t="s">
        <v>326</v>
      </c>
      <c r="C414" t="s">
        <v>326</v>
      </c>
      <c r="D414" t="s">
        <v>291</v>
      </c>
      <c r="E414" t="s">
        <v>292</v>
      </c>
      <c r="F414" t="s">
        <v>300</v>
      </c>
      <c r="G414" t="s">
        <v>308</v>
      </c>
      <c r="H414">
        <v>4</v>
      </c>
      <c r="I414">
        <v>52</v>
      </c>
      <c r="J414" s="2">
        <v>208</v>
      </c>
      <c r="K414" t="s">
        <v>313</v>
      </c>
      <c r="L414" t="s">
        <v>316</v>
      </c>
    </row>
    <row r="415" spans="1:12" x14ac:dyDescent="0.25">
      <c r="A415" t="s">
        <v>105</v>
      </c>
      <c r="B415" t="s">
        <v>322</v>
      </c>
      <c r="C415" t="s">
        <v>341</v>
      </c>
      <c r="D415" t="s">
        <v>290</v>
      </c>
      <c r="E415" t="s">
        <v>294</v>
      </c>
      <c r="F415" t="s">
        <v>302</v>
      </c>
      <c r="G415" t="s">
        <v>310</v>
      </c>
      <c r="H415">
        <v>16</v>
      </c>
      <c r="I415">
        <v>825</v>
      </c>
      <c r="J415" s="2">
        <v>13200</v>
      </c>
      <c r="K415" t="s">
        <v>312</v>
      </c>
      <c r="L415" t="s">
        <v>316</v>
      </c>
    </row>
    <row r="416" spans="1:12" x14ac:dyDescent="0.25">
      <c r="A416" t="s">
        <v>257</v>
      </c>
      <c r="B416" t="s">
        <v>321</v>
      </c>
      <c r="C416" t="s">
        <v>340</v>
      </c>
      <c r="D416" t="s">
        <v>290</v>
      </c>
      <c r="E416" t="s">
        <v>298</v>
      </c>
      <c r="F416" t="s">
        <v>304</v>
      </c>
      <c r="G416" t="s">
        <v>310</v>
      </c>
      <c r="H416">
        <v>15</v>
      </c>
      <c r="I416">
        <v>200</v>
      </c>
      <c r="J416" s="2">
        <v>3000</v>
      </c>
      <c r="K416" t="s">
        <v>313</v>
      </c>
      <c r="L416" t="s">
        <v>316</v>
      </c>
    </row>
    <row r="417" spans="1:12" x14ac:dyDescent="0.25">
      <c r="A417" t="s">
        <v>261</v>
      </c>
      <c r="B417" t="s">
        <v>325</v>
      </c>
      <c r="C417" t="s">
        <v>344</v>
      </c>
      <c r="D417" t="s">
        <v>291</v>
      </c>
      <c r="E417" t="s">
        <v>296</v>
      </c>
      <c r="F417" t="s">
        <v>305</v>
      </c>
      <c r="G417" t="s">
        <v>310</v>
      </c>
      <c r="H417">
        <v>3</v>
      </c>
      <c r="I417">
        <v>750</v>
      </c>
      <c r="J417" s="2">
        <v>2250</v>
      </c>
      <c r="K417" t="s">
        <v>311</v>
      </c>
      <c r="L417" t="s">
        <v>316</v>
      </c>
    </row>
    <row r="418" spans="1:12" x14ac:dyDescent="0.25">
      <c r="A418" t="s">
        <v>157</v>
      </c>
      <c r="B418" t="s">
        <v>320</v>
      </c>
      <c r="C418" t="s">
        <v>339</v>
      </c>
      <c r="D418" t="s">
        <v>288</v>
      </c>
      <c r="E418" t="s">
        <v>295</v>
      </c>
      <c r="F418" t="s">
        <v>300</v>
      </c>
      <c r="G418" t="s">
        <v>308</v>
      </c>
      <c r="H418">
        <v>20</v>
      </c>
      <c r="I418">
        <v>1306</v>
      </c>
      <c r="J418" s="2">
        <v>26120</v>
      </c>
      <c r="K418" t="s">
        <v>314</v>
      </c>
      <c r="L418" t="s">
        <v>315</v>
      </c>
    </row>
    <row r="419" spans="1:12" x14ac:dyDescent="0.25">
      <c r="A419" t="s">
        <v>57</v>
      </c>
      <c r="B419" t="s">
        <v>322</v>
      </c>
      <c r="C419" t="s">
        <v>341</v>
      </c>
      <c r="D419" t="s">
        <v>289</v>
      </c>
      <c r="E419" t="s">
        <v>298</v>
      </c>
      <c r="F419" t="s">
        <v>307</v>
      </c>
      <c r="G419" t="s">
        <v>309</v>
      </c>
      <c r="H419">
        <v>2</v>
      </c>
      <c r="I419">
        <v>257</v>
      </c>
      <c r="J419" s="2">
        <v>514</v>
      </c>
      <c r="K419" t="s">
        <v>312</v>
      </c>
      <c r="L419" t="s">
        <v>315</v>
      </c>
    </row>
    <row r="420" spans="1:12" x14ac:dyDescent="0.25">
      <c r="A420" t="s">
        <v>262</v>
      </c>
      <c r="B420" t="s">
        <v>327</v>
      </c>
      <c r="C420" t="s">
        <v>345</v>
      </c>
      <c r="D420" t="s">
        <v>291</v>
      </c>
      <c r="E420" t="s">
        <v>292</v>
      </c>
      <c r="F420" t="s">
        <v>302</v>
      </c>
      <c r="G420" t="s">
        <v>310</v>
      </c>
      <c r="H420">
        <v>10</v>
      </c>
      <c r="I420">
        <v>536</v>
      </c>
      <c r="J420" s="2">
        <v>5360</v>
      </c>
      <c r="K420" t="s">
        <v>313</v>
      </c>
      <c r="L420" t="s">
        <v>315</v>
      </c>
    </row>
    <row r="421" spans="1:12" x14ac:dyDescent="0.25">
      <c r="A421" t="s">
        <v>183</v>
      </c>
      <c r="B421" t="s">
        <v>323</v>
      </c>
      <c r="C421" t="s">
        <v>342</v>
      </c>
      <c r="D421" t="s">
        <v>290</v>
      </c>
      <c r="E421" t="s">
        <v>293</v>
      </c>
      <c r="F421" t="s">
        <v>304</v>
      </c>
      <c r="G421" t="s">
        <v>310</v>
      </c>
      <c r="H421">
        <v>12</v>
      </c>
      <c r="I421">
        <v>57</v>
      </c>
      <c r="J421" s="2">
        <v>684</v>
      </c>
      <c r="K421" t="s">
        <v>314</v>
      </c>
      <c r="L421" t="s">
        <v>315</v>
      </c>
    </row>
    <row r="422" spans="1:12" x14ac:dyDescent="0.25">
      <c r="A422" t="s">
        <v>263</v>
      </c>
      <c r="B422" t="s">
        <v>326</v>
      </c>
      <c r="C422" t="s">
        <v>326</v>
      </c>
      <c r="D422" t="s">
        <v>290</v>
      </c>
      <c r="E422" t="s">
        <v>296</v>
      </c>
      <c r="F422" t="s">
        <v>304</v>
      </c>
      <c r="G422" t="s">
        <v>310</v>
      </c>
      <c r="H422">
        <v>1</v>
      </c>
      <c r="I422">
        <v>473</v>
      </c>
      <c r="J422" s="2">
        <v>473</v>
      </c>
      <c r="K422" t="s">
        <v>311</v>
      </c>
      <c r="L422" t="s">
        <v>316</v>
      </c>
    </row>
    <row r="423" spans="1:12" x14ac:dyDescent="0.25">
      <c r="A423" t="s">
        <v>99</v>
      </c>
      <c r="B423" t="s">
        <v>321</v>
      </c>
      <c r="C423" t="s">
        <v>340</v>
      </c>
      <c r="D423" t="s">
        <v>288</v>
      </c>
      <c r="E423" t="s">
        <v>292</v>
      </c>
      <c r="F423" t="s">
        <v>304</v>
      </c>
      <c r="G423" t="s">
        <v>310</v>
      </c>
      <c r="H423">
        <v>13</v>
      </c>
      <c r="I423">
        <v>1014</v>
      </c>
      <c r="J423" s="2">
        <v>13182</v>
      </c>
      <c r="K423" t="s">
        <v>314</v>
      </c>
      <c r="L423" t="s">
        <v>316</v>
      </c>
    </row>
    <row r="424" spans="1:12" x14ac:dyDescent="0.25">
      <c r="A424" t="s">
        <v>114</v>
      </c>
      <c r="B424" t="s">
        <v>321</v>
      </c>
      <c r="C424" t="s">
        <v>340</v>
      </c>
      <c r="D424" t="s">
        <v>290</v>
      </c>
      <c r="E424" t="s">
        <v>295</v>
      </c>
      <c r="F424" t="s">
        <v>302</v>
      </c>
      <c r="G424" t="s">
        <v>310</v>
      </c>
      <c r="H424">
        <v>13</v>
      </c>
      <c r="I424">
        <v>806</v>
      </c>
      <c r="J424" s="2">
        <v>10478</v>
      </c>
      <c r="K424" t="s">
        <v>311</v>
      </c>
      <c r="L424" t="s">
        <v>316</v>
      </c>
    </row>
    <row r="425" spans="1:12" x14ac:dyDescent="0.25">
      <c r="A425" t="s">
        <v>156</v>
      </c>
      <c r="B425" t="s">
        <v>325</v>
      </c>
      <c r="C425" t="s">
        <v>344</v>
      </c>
      <c r="D425" t="s">
        <v>289</v>
      </c>
      <c r="E425" t="s">
        <v>299</v>
      </c>
      <c r="F425" t="s">
        <v>303</v>
      </c>
      <c r="G425" t="s">
        <v>309</v>
      </c>
      <c r="H425">
        <v>9</v>
      </c>
      <c r="I425">
        <v>513</v>
      </c>
      <c r="J425" s="2">
        <v>4617</v>
      </c>
      <c r="K425" t="s">
        <v>312</v>
      </c>
      <c r="L425" t="s">
        <v>315</v>
      </c>
    </row>
    <row r="426" spans="1:12" x14ac:dyDescent="0.25">
      <c r="A426" t="s">
        <v>264</v>
      </c>
      <c r="B426" t="s">
        <v>320</v>
      </c>
      <c r="C426" t="s">
        <v>339</v>
      </c>
      <c r="D426" t="s">
        <v>288</v>
      </c>
      <c r="E426" t="s">
        <v>295</v>
      </c>
      <c r="F426" t="s">
        <v>300</v>
      </c>
      <c r="G426" t="s">
        <v>308</v>
      </c>
      <c r="H426">
        <v>18</v>
      </c>
      <c r="I426">
        <v>897</v>
      </c>
      <c r="J426" s="2">
        <v>16146</v>
      </c>
      <c r="K426" t="s">
        <v>311</v>
      </c>
      <c r="L426" t="s">
        <v>315</v>
      </c>
    </row>
    <row r="427" spans="1:12" x14ac:dyDescent="0.25">
      <c r="A427" t="s">
        <v>265</v>
      </c>
      <c r="B427" t="s">
        <v>323</v>
      </c>
      <c r="C427" t="s">
        <v>342</v>
      </c>
      <c r="D427" t="s">
        <v>289</v>
      </c>
      <c r="E427" t="s">
        <v>297</v>
      </c>
      <c r="F427" t="s">
        <v>302</v>
      </c>
      <c r="G427" t="s">
        <v>310</v>
      </c>
      <c r="H427">
        <v>16</v>
      </c>
      <c r="I427">
        <v>662</v>
      </c>
      <c r="J427" s="2">
        <v>10592</v>
      </c>
      <c r="K427" t="s">
        <v>313</v>
      </c>
      <c r="L427" t="s">
        <v>316</v>
      </c>
    </row>
    <row r="428" spans="1:12" x14ac:dyDescent="0.25">
      <c r="A428" t="s">
        <v>266</v>
      </c>
      <c r="B428" t="s">
        <v>318</v>
      </c>
      <c r="C428" t="s">
        <v>337</v>
      </c>
      <c r="D428" t="s">
        <v>290</v>
      </c>
      <c r="E428" t="s">
        <v>296</v>
      </c>
      <c r="F428" t="s">
        <v>301</v>
      </c>
      <c r="G428" t="s">
        <v>309</v>
      </c>
      <c r="H428">
        <v>15</v>
      </c>
      <c r="I428">
        <v>404</v>
      </c>
      <c r="J428" s="2">
        <v>6060</v>
      </c>
      <c r="K428" t="s">
        <v>311</v>
      </c>
      <c r="L428" t="s">
        <v>315</v>
      </c>
    </row>
    <row r="429" spans="1:12" x14ac:dyDescent="0.25">
      <c r="A429" t="s">
        <v>267</v>
      </c>
      <c r="B429" t="s">
        <v>327</v>
      </c>
      <c r="C429" t="s">
        <v>345</v>
      </c>
      <c r="D429" t="s">
        <v>288</v>
      </c>
      <c r="E429" t="s">
        <v>294</v>
      </c>
      <c r="F429" t="s">
        <v>307</v>
      </c>
      <c r="G429" t="s">
        <v>309</v>
      </c>
      <c r="H429">
        <v>3</v>
      </c>
      <c r="I429">
        <v>1449</v>
      </c>
      <c r="J429" s="2">
        <v>4347</v>
      </c>
      <c r="K429" t="s">
        <v>314</v>
      </c>
      <c r="L429" t="s">
        <v>315</v>
      </c>
    </row>
    <row r="430" spans="1:12" x14ac:dyDescent="0.25">
      <c r="A430" t="s">
        <v>178</v>
      </c>
      <c r="B430" t="s">
        <v>317</v>
      </c>
      <c r="C430" t="s">
        <v>336</v>
      </c>
      <c r="D430" t="s">
        <v>291</v>
      </c>
      <c r="E430" t="s">
        <v>295</v>
      </c>
      <c r="F430" t="s">
        <v>307</v>
      </c>
      <c r="G430" t="s">
        <v>309</v>
      </c>
      <c r="H430">
        <v>3</v>
      </c>
      <c r="I430">
        <v>228</v>
      </c>
      <c r="J430" s="2">
        <v>684</v>
      </c>
      <c r="K430" t="s">
        <v>314</v>
      </c>
      <c r="L430" t="s">
        <v>316</v>
      </c>
    </row>
    <row r="431" spans="1:12" x14ac:dyDescent="0.25">
      <c r="A431" t="s">
        <v>106</v>
      </c>
      <c r="B431" t="s">
        <v>324</v>
      </c>
      <c r="C431" t="s">
        <v>343</v>
      </c>
      <c r="D431" t="s">
        <v>291</v>
      </c>
      <c r="E431" t="s">
        <v>299</v>
      </c>
      <c r="F431" t="s">
        <v>305</v>
      </c>
      <c r="G431" t="s">
        <v>310</v>
      </c>
      <c r="H431">
        <v>1</v>
      </c>
      <c r="I431">
        <v>1484</v>
      </c>
      <c r="J431" s="2">
        <v>1484</v>
      </c>
      <c r="K431" t="s">
        <v>314</v>
      </c>
      <c r="L431" t="s">
        <v>315</v>
      </c>
    </row>
    <row r="432" spans="1:12" x14ac:dyDescent="0.25">
      <c r="A432" t="s">
        <v>63</v>
      </c>
      <c r="B432" t="s">
        <v>323</v>
      </c>
      <c r="C432" t="s">
        <v>342</v>
      </c>
      <c r="D432" t="s">
        <v>290</v>
      </c>
      <c r="E432" t="s">
        <v>296</v>
      </c>
      <c r="F432" t="s">
        <v>307</v>
      </c>
      <c r="G432" t="s">
        <v>309</v>
      </c>
      <c r="H432">
        <v>4</v>
      </c>
      <c r="I432">
        <v>1202</v>
      </c>
      <c r="J432" s="2">
        <v>4808</v>
      </c>
      <c r="K432" t="s">
        <v>313</v>
      </c>
      <c r="L432" t="s">
        <v>316</v>
      </c>
    </row>
    <row r="433" spans="1:12" x14ac:dyDescent="0.25">
      <c r="A433" t="s">
        <v>181</v>
      </c>
      <c r="B433" t="s">
        <v>324</v>
      </c>
      <c r="C433" t="s">
        <v>343</v>
      </c>
      <c r="D433" t="s">
        <v>289</v>
      </c>
      <c r="E433" t="s">
        <v>292</v>
      </c>
      <c r="F433" t="s">
        <v>305</v>
      </c>
      <c r="G433" t="s">
        <v>310</v>
      </c>
      <c r="H433">
        <v>13</v>
      </c>
      <c r="I433">
        <v>1391</v>
      </c>
      <c r="J433" s="2">
        <v>18083</v>
      </c>
      <c r="K433" t="s">
        <v>314</v>
      </c>
      <c r="L433" t="s">
        <v>316</v>
      </c>
    </row>
    <row r="434" spans="1:12" x14ac:dyDescent="0.25">
      <c r="A434" t="s">
        <v>268</v>
      </c>
      <c r="B434" t="s">
        <v>325</v>
      </c>
      <c r="C434" t="s">
        <v>344</v>
      </c>
      <c r="D434" t="s">
        <v>291</v>
      </c>
      <c r="E434" t="s">
        <v>294</v>
      </c>
      <c r="F434" t="s">
        <v>307</v>
      </c>
      <c r="G434" t="s">
        <v>309</v>
      </c>
      <c r="H434">
        <v>5</v>
      </c>
      <c r="I434">
        <v>1316</v>
      </c>
      <c r="J434" s="2">
        <v>6580</v>
      </c>
      <c r="K434" t="s">
        <v>314</v>
      </c>
      <c r="L434" t="s">
        <v>315</v>
      </c>
    </row>
    <row r="435" spans="1:12" x14ac:dyDescent="0.25">
      <c r="A435" t="s">
        <v>20</v>
      </c>
      <c r="B435" t="s">
        <v>323</v>
      </c>
      <c r="C435" t="s">
        <v>342</v>
      </c>
      <c r="D435" t="s">
        <v>290</v>
      </c>
      <c r="E435" t="s">
        <v>293</v>
      </c>
      <c r="F435" t="s">
        <v>305</v>
      </c>
      <c r="G435" t="s">
        <v>310</v>
      </c>
      <c r="H435">
        <v>16</v>
      </c>
      <c r="I435">
        <v>600</v>
      </c>
      <c r="J435" s="2">
        <v>9600</v>
      </c>
      <c r="K435" t="s">
        <v>312</v>
      </c>
      <c r="L435" t="s">
        <v>315</v>
      </c>
    </row>
    <row r="436" spans="1:12" x14ac:dyDescent="0.25">
      <c r="A436" t="s">
        <v>269</v>
      </c>
      <c r="B436" t="s">
        <v>328</v>
      </c>
      <c r="C436" t="s">
        <v>346</v>
      </c>
      <c r="D436" t="s">
        <v>291</v>
      </c>
      <c r="E436" t="s">
        <v>292</v>
      </c>
      <c r="F436" t="s">
        <v>303</v>
      </c>
      <c r="G436" t="s">
        <v>309</v>
      </c>
      <c r="H436">
        <v>16</v>
      </c>
      <c r="I436">
        <v>1475</v>
      </c>
      <c r="J436" s="2">
        <v>23600</v>
      </c>
      <c r="K436" t="s">
        <v>313</v>
      </c>
      <c r="L436" t="s">
        <v>315</v>
      </c>
    </row>
    <row r="437" spans="1:12" x14ac:dyDescent="0.25">
      <c r="A437" t="s">
        <v>197</v>
      </c>
      <c r="B437" t="s">
        <v>320</v>
      </c>
      <c r="C437" t="s">
        <v>339</v>
      </c>
      <c r="D437" t="s">
        <v>289</v>
      </c>
      <c r="E437" t="s">
        <v>295</v>
      </c>
      <c r="F437" t="s">
        <v>303</v>
      </c>
      <c r="G437" t="s">
        <v>309</v>
      </c>
      <c r="H437">
        <v>9</v>
      </c>
      <c r="I437">
        <v>903</v>
      </c>
      <c r="J437" s="2">
        <v>8127</v>
      </c>
      <c r="K437" t="s">
        <v>313</v>
      </c>
      <c r="L437" t="s">
        <v>315</v>
      </c>
    </row>
    <row r="438" spans="1:12" x14ac:dyDescent="0.25">
      <c r="A438" t="s">
        <v>149</v>
      </c>
      <c r="B438" t="s">
        <v>322</v>
      </c>
      <c r="C438" t="s">
        <v>341</v>
      </c>
      <c r="D438" t="s">
        <v>289</v>
      </c>
      <c r="E438" t="s">
        <v>299</v>
      </c>
      <c r="F438" t="s">
        <v>306</v>
      </c>
      <c r="G438" t="s">
        <v>309</v>
      </c>
      <c r="H438">
        <v>17</v>
      </c>
      <c r="I438">
        <v>815</v>
      </c>
      <c r="J438" s="2">
        <v>13855</v>
      </c>
      <c r="K438" t="s">
        <v>313</v>
      </c>
      <c r="L438" t="s">
        <v>315</v>
      </c>
    </row>
    <row r="439" spans="1:12" x14ac:dyDescent="0.25">
      <c r="A439" t="s">
        <v>91</v>
      </c>
      <c r="B439" t="s">
        <v>321</v>
      </c>
      <c r="C439" t="s">
        <v>340</v>
      </c>
      <c r="D439" t="s">
        <v>289</v>
      </c>
      <c r="E439" t="s">
        <v>298</v>
      </c>
      <c r="F439" t="s">
        <v>303</v>
      </c>
      <c r="G439" t="s">
        <v>309</v>
      </c>
      <c r="H439">
        <v>17</v>
      </c>
      <c r="I439">
        <v>1214</v>
      </c>
      <c r="J439" s="2">
        <v>20638</v>
      </c>
      <c r="K439" t="s">
        <v>313</v>
      </c>
      <c r="L439" t="s">
        <v>315</v>
      </c>
    </row>
    <row r="440" spans="1:12" x14ac:dyDescent="0.25">
      <c r="A440" t="s">
        <v>267</v>
      </c>
      <c r="B440" t="s">
        <v>327</v>
      </c>
      <c r="C440" t="s">
        <v>345</v>
      </c>
      <c r="D440" t="s">
        <v>288</v>
      </c>
      <c r="E440" t="s">
        <v>297</v>
      </c>
      <c r="F440" t="s">
        <v>306</v>
      </c>
      <c r="G440" t="s">
        <v>309</v>
      </c>
      <c r="H440">
        <v>2</v>
      </c>
      <c r="I440">
        <v>984</v>
      </c>
      <c r="J440" s="2">
        <v>1968</v>
      </c>
      <c r="K440" t="s">
        <v>313</v>
      </c>
      <c r="L440" t="s">
        <v>316</v>
      </c>
    </row>
    <row r="441" spans="1:12" x14ac:dyDescent="0.25">
      <c r="A441" t="s">
        <v>16</v>
      </c>
      <c r="B441" t="s">
        <v>318</v>
      </c>
      <c r="C441" t="s">
        <v>337</v>
      </c>
      <c r="D441" t="s">
        <v>291</v>
      </c>
      <c r="E441" t="s">
        <v>295</v>
      </c>
      <c r="F441" t="s">
        <v>306</v>
      </c>
      <c r="G441" t="s">
        <v>309</v>
      </c>
      <c r="H441">
        <v>15</v>
      </c>
      <c r="I441">
        <v>1084</v>
      </c>
      <c r="J441" s="2">
        <v>16260</v>
      </c>
      <c r="K441" t="s">
        <v>314</v>
      </c>
      <c r="L441" t="s">
        <v>315</v>
      </c>
    </row>
    <row r="442" spans="1:12" x14ac:dyDescent="0.25">
      <c r="A442" t="s">
        <v>185</v>
      </c>
      <c r="B442" t="s">
        <v>318</v>
      </c>
      <c r="C442" t="s">
        <v>337</v>
      </c>
      <c r="D442" t="s">
        <v>290</v>
      </c>
      <c r="E442" t="s">
        <v>295</v>
      </c>
      <c r="F442" t="s">
        <v>301</v>
      </c>
      <c r="G442" t="s">
        <v>309</v>
      </c>
      <c r="H442">
        <v>16</v>
      </c>
      <c r="I442">
        <v>1266</v>
      </c>
      <c r="J442" s="2">
        <v>20256</v>
      </c>
      <c r="K442" t="s">
        <v>314</v>
      </c>
      <c r="L442" t="s">
        <v>315</v>
      </c>
    </row>
    <row r="443" spans="1:12" x14ac:dyDescent="0.25">
      <c r="A443" t="s">
        <v>270</v>
      </c>
      <c r="B443" t="s">
        <v>322</v>
      </c>
      <c r="C443" t="s">
        <v>341</v>
      </c>
      <c r="D443" t="s">
        <v>291</v>
      </c>
      <c r="E443" t="s">
        <v>298</v>
      </c>
      <c r="F443" t="s">
        <v>305</v>
      </c>
      <c r="G443" t="s">
        <v>310</v>
      </c>
      <c r="H443">
        <v>9</v>
      </c>
      <c r="I443">
        <v>1460</v>
      </c>
      <c r="J443" s="2">
        <v>13140</v>
      </c>
      <c r="K443" t="s">
        <v>313</v>
      </c>
      <c r="L443" t="s">
        <v>316</v>
      </c>
    </row>
    <row r="444" spans="1:12" x14ac:dyDescent="0.25">
      <c r="A444" t="s">
        <v>54</v>
      </c>
      <c r="B444" t="s">
        <v>325</v>
      </c>
      <c r="C444" t="s">
        <v>344</v>
      </c>
      <c r="D444" t="s">
        <v>288</v>
      </c>
      <c r="E444" t="s">
        <v>298</v>
      </c>
      <c r="F444" t="s">
        <v>302</v>
      </c>
      <c r="G444" t="s">
        <v>310</v>
      </c>
      <c r="H444">
        <v>19</v>
      </c>
      <c r="I444">
        <v>488</v>
      </c>
      <c r="J444" s="2">
        <v>9272</v>
      </c>
      <c r="K444" t="s">
        <v>311</v>
      </c>
      <c r="L444" t="s">
        <v>315</v>
      </c>
    </row>
    <row r="445" spans="1:12" x14ac:dyDescent="0.25">
      <c r="A445" t="s">
        <v>11</v>
      </c>
      <c r="B445" t="s">
        <v>318</v>
      </c>
      <c r="C445" t="s">
        <v>337</v>
      </c>
      <c r="D445" t="s">
        <v>291</v>
      </c>
      <c r="E445" t="s">
        <v>294</v>
      </c>
      <c r="F445" t="s">
        <v>306</v>
      </c>
      <c r="G445" t="s">
        <v>309</v>
      </c>
      <c r="H445">
        <v>17</v>
      </c>
      <c r="I445">
        <v>91</v>
      </c>
      <c r="J445" s="2">
        <v>1547</v>
      </c>
      <c r="K445" t="s">
        <v>313</v>
      </c>
      <c r="L445" t="s">
        <v>316</v>
      </c>
    </row>
    <row r="446" spans="1:12" x14ac:dyDescent="0.25">
      <c r="A446" t="s">
        <v>271</v>
      </c>
      <c r="B446" t="s">
        <v>320</v>
      </c>
      <c r="C446" t="s">
        <v>339</v>
      </c>
      <c r="D446" t="s">
        <v>288</v>
      </c>
      <c r="E446" t="s">
        <v>297</v>
      </c>
      <c r="F446" t="s">
        <v>307</v>
      </c>
      <c r="G446" t="s">
        <v>309</v>
      </c>
      <c r="H446">
        <v>9</v>
      </c>
      <c r="I446">
        <v>1295</v>
      </c>
      <c r="J446" s="2">
        <v>11655</v>
      </c>
      <c r="K446" t="s">
        <v>312</v>
      </c>
      <c r="L446" t="s">
        <v>316</v>
      </c>
    </row>
    <row r="447" spans="1:12" x14ac:dyDescent="0.25">
      <c r="A447" t="s">
        <v>34</v>
      </c>
      <c r="B447" t="s">
        <v>322</v>
      </c>
      <c r="C447" t="s">
        <v>341</v>
      </c>
      <c r="D447" t="s">
        <v>291</v>
      </c>
      <c r="E447" t="s">
        <v>299</v>
      </c>
      <c r="F447" t="s">
        <v>302</v>
      </c>
      <c r="G447" t="s">
        <v>310</v>
      </c>
      <c r="H447">
        <v>9</v>
      </c>
      <c r="I447">
        <v>496</v>
      </c>
      <c r="J447" s="2">
        <v>4464</v>
      </c>
      <c r="K447" t="s">
        <v>314</v>
      </c>
      <c r="L447" t="s">
        <v>316</v>
      </c>
    </row>
    <row r="448" spans="1:12" x14ac:dyDescent="0.25">
      <c r="A448" t="s">
        <v>11</v>
      </c>
      <c r="B448" t="s">
        <v>318</v>
      </c>
      <c r="C448" t="s">
        <v>337</v>
      </c>
      <c r="D448" t="s">
        <v>288</v>
      </c>
      <c r="E448" t="s">
        <v>293</v>
      </c>
      <c r="F448" t="s">
        <v>302</v>
      </c>
      <c r="G448" t="s">
        <v>310</v>
      </c>
      <c r="H448">
        <v>17</v>
      </c>
      <c r="I448">
        <v>1406</v>
      </c>
      <c r="J448" s="2">
        <v>23902</v>
      </c>
      <c r="K448" t="s">
        <v>312</v>
      </c>
      <c r="L448" t="s">
        <v>316</v>
      </c>
    </row>
    <row r="449" spans="1:12" x14ac:dyDescent="0.25">
      <c r="A449" t="s">
        <v>272</v>
      </c>
      <c r="B449" t="s">
        <v>328</v>
      </c>
      <c r="C449" t="s">
        <v>346</v>
      </c>
      <c r="D449" t="s">
        <v>289</v>
      </c>
      <c r="E449" t="s">
        <v>296</v>
      </c>
      <c r="F449" t="s">
        <v>300</v>
      </c>
      <c r="G449" t="s">
        <v>308</v>
      </c>
      <c r="H449">
        <v>11</v>
      </c>
      <c r="I449">
        <v>616</v>
      </c>
      <c r="J449" s="2">
        <v>6776</v>
      </c>
      <c r="K449" t="s">
        <v>312</v>
      </c>
      <c r="L449" t="s">
        <v>316</v>
      </c>
    </row>
    <row r="450" spans="1:12" x14ac:dyDescent="0.25">
      <c r="A450" t="s">
        <v>73</v>
      </c>
      <c r="B450" t="s">
        <v>326</v>
      </c>
      <c r="C450" t="s">
        <v>326</v>
      </c>
      <c r="D450" t="s">
        <v>290</v>
      </c>
      <c r="E450" t="s">
        <v>298</v>
      </c>
      <c r="F450" t="s">
        <v>303</v>
      </c>
      <c r="G450" t="s">
        <v>309</v>
      </c>
      <c r="H450">
        <v>17</v>
      </c>
      <c r="I450">
        <v>542</v>
      </c>
      <c r="J450" s="2">
        <v>9214</v>
      </c>
      <c r="K450" t="s">
        <v>313</v>
      </c>
      <c r="L450" t="s">
        <v>316</v>
      </c>
    </row>
    <row r="451" spans="1:12" x14ac:dyDescent="0.25">
      <c r="A451" t="s">
        <v>273</v>
      </c>
      <c r="B451" t="s">
        <v>318</v>
      </c>
      <c r="C451" t="s">
        <v>337</v>
      </c>
      <c r="D451" t="s">
        <v>290</v>
      </c>
      <c r="E451" t="s">
        <v>293</v>
      </c>
      <c r="F451" t="s">
        <v>305</v>
      </c>
      <c r="G451" t="s">
        <v>310</v>
      </c>
      <c r="H451">
        <v>16</v>
      </c>
      <c r="I451">
        <v>655</v>
      </c>
      <c r="J451" s="2">
        <v>10480</v>
      </c>
      <c r="K451" t="s">
        <v>312</v>
      </c>
      <c r="L451" t="s">
        <v>316</v>
      </c>
    </row>
    <row r="452" spans="1:12" x14ac:dyDescent="0.25">
      <c r="A452" t="s">
        <v>196</v>
      </c>
      <c r="B452" t="s">
        <v>323</v>
      </c>
      <c r="C452" t="s">
        <v>342</v>
      </c>
      <c r="D452" t="s">
        <v>288</v>
      </c>
      <c r="E452" t="s">
        <v>297</v>
      </c>
      <c r="F452" t="s">
        <v>302</v>
      </c>
      <c r="G452" t="s">
        <v>310</v>
      </c>
      <c r="H452">
        <v>11</v>
      </c>
      <c r="I452">
        <v>505</v>
      </c>
      <c r="J452" s="2">
        <v>5555</v>
      </c>
      <c r="K452" t="s">
        <v>314</v>
      </c>
      <c r="L452" t="s">
        <v>316</v>
      </c>
    </row>
    <row r="453" spans="1:12" x14ac:dyDescent="0.25">
      <c r="A453" t="s">
        <v>25</v>
      </c>
      <c r="B453" t="s">
        <v>319</v>
      </c>
      <c r="C453" t="s">
        <v>338</v>
      </c>
      <c r="D453" t="s">
        <v>290</v>
      </c>
      <c r="E453" t="s">
        <v>298</v>
      </c>
      <c r="F453" t="s">
        <v>303</v>
      </c>
      <c r="G453" t="s">
        <v>309</v>
      </c>
      <c r="H453">
        <v>10</v>
      </c>
      <c r="I453">
        <v>249</v>
      </c>
      <c r="J453" s="2">
        <v>2490</v>
      </c>
      <c r="K453" t="s">
        <v>314</v>
      </c>
      <c r="L453" t="s">
        <v>315</v>
      </c>
    </row>
    <row r="454" spans="1:12" x14ac:dyDescent="0.25">
      <c r="A454" t="s">
        <v>274</v>
      </c>
      <c r="B454" t="s">
        <v>326</v>
      </c>
      <c r="C454" t="s">
        <v>326</v>
      </c>
      <c r="D454" t="s">
        <v>291</v>
      </c>
      <c r="E454" t="s">
        <v>296</v>
      </c>
      <c r="F454" t="s">
        <v>307</v>
      </c>
      <c r="G454" t="s">
        <v>309</v>
      </c>
      <c r="H454">
        <v>8</v>
      </c>
      <c r="I454">
        <v>777</v>
      </c>
      <c r="J454" s="2">
        <v>6216</v>
      </c>
      <c r="K454" t="s">
        <v>311</v>
      </c>
      <c r="L454" t="s">
        <v>316</v>
      </c>
    </row>
    <row r="455" spans="1:12" x14ac:dyDescent="0.25">
      <c r="A455" t="s">
        <v>275</v>
      </c>
      <c r="B455" t="s">
        <v>322</v>
      </c>
      <c r="C455" t="s">
        <v>341</v>
      </c>
      <c r="D455" t="s">
        <v>291</v>
      </c>
      <c r="E455" t="s">
        <v>292</v>
      </c>
      <c r="F455" t="s">
        <v>305</v>
      </c>
      <c r="G455" t="s">
        <v>310</v>
      </c>
      <c r="H455">
        <v>19</v>
      </c>
      <c r="I455">
        <v>652</v>
      </c>
      <c r="J455" s="2">
        <v>12388</v>
      </c>
      <c r="K455" t="s">
        <v>314</v>
      </c>
      <c r="L455" t="s">
        <v>315</v>
      </c>
    </row>
    <row r="456" spans="1:12" x14ac:dyDescent="0.25">
      <c r="A456" t="s">
        <v>112</v>
      </c>
      <c r="B456" t="s">
        <v>322</v>
      </c>
      <c r="C456" t="s">
        <v>341</v>
      </c>
      <c r="D456" t="s">
        <v>288</v>
      </c>
      <c r="E456" t="s">
        <v>299</v>
      </c>
      <c r="F456" t="s">
        <v>301</v>
      </c>
      <c r="G456" t="s">
        <v>309</v>
      </c>
      <c r="H456">
        <v>7</v>
      </c>
      <c r="I456">
        <v>1074</v>
      </c>
      <c r="J456" s="2">
        <v>7518</v>
      </c>
      <c r="K456" t="s">
        <v>313</v>
      </c>
      <c r="L456" t="s">
        <v>316</v>
      </c>
    </row>
    <row r="457" spans="1:12" x14ac:dyDescent="0.25">
      <c r="A457" t="s">
        <v>147</v>
      </c>
      <c r="B457" t="s">
        <v>319</v>
      </c>
      <c r="C457" t="s">
        <v>338</v>
      </c>
      <c r="D457" t="s">
        <v>289</v>
      </c>
      <c r="E457" t="s">
        <v>293</v>
      </c>
      <c r="F457" t="s">
        <v>303</v>
      </c>
      <c r="G457" t="s">
        <v>309</v>
      </c>
      <c r="H457">
        <v>5</v>
      </c>
      <c r="I457">
        <v>331</v>
      </c>
      <c r="J457" s="2">
        <v>1655</v>
      </c>
      <c r="K457" t="s">
        <v>311</v>
      </c>
      <c r="L457" t="s">
        <v>316</v>
      </c>
    </row>
    <row r="458" spans="1:12" x14ac:dyDescent="0.25">
      <c r="A458" t="s">
        <v>276</v>
      </c>
      <c r="B458" t="s">
        <v>323</v>
      </c>
      <c r="C458" t="s">
        <v>342</v>
      </c>
      <c r="D458" t="s">
        <v>290</v>
      </c>
      <c r="E458" t="s">
        <v>295</v>
      </c>
      <c r="F458" t="s">
        <v>304</v>
      </c>
      <c r="G458" t="s">
        <v>310</v>
      </c>
      <c r="H458">
        <v>6</v>
      </c>
      <c r="I458">
        <v>215</v>
      </c>
      <c r="J458" s="2">
        <v>1290</v>
      </c>
      <c r="K458" t="s">
        <v>314</v>
      </c>
      <c r="L458" t="s">
        <v>316</v>
      </c>
    </row>
    <row r="459" spans="1:12" x14ac:dyDescent="0.25">
      <c r="A459" t="s">
        <v>277</v>
      </c>
      <c r="B459" t="s">
        <v>317</v>
      </c>
      <c r="C459" t="s">
        <v>336</v>
      </c>
      <c r="D459" t="s">
        <v>291</v>
      </c>
      <c r="E459" t="s">
        <v>293</v>
      </c>
      <c r="F459" t="s">
        <v>307</v>
      </c>
      <c r="G459" t="s">
        <v>309</v>
      </c>
      <c r="H459">
        <v>1</v>
      </c>
      <c r="I459">
        <v>975</v>
      </c>
      <c r="J459" s="2">
        <v>975</v>
      </c>
      <c r="K459" t="s">
        <v>312</v>
      </c>
      <c r="L459" t="s">
        <v>315</v>
      </c>
    </row>
    <row r="460" spans="1:12" x14ac:dyDescent="0.25">
      <c r="A460" t="s">
        <v>61</v>
      </c>
      <c r="B460" t="s">
        <v>320</v>
      </c>
      <c r="C460" t="s">
        <v>339</v>
      </c>
      <c r="D460" t="s">
        <v>289</v>
      </c>
      <c r="E460" t="s">
        <v>296</v>
      </c>
      <c r="F460" t="s">
        <v>307</v>
      </c>
      <c r="G460" t="s">
        <v>309</v>
      </c>
      <c r="H460">
        <v>5</v>
      </c>
      <c r="I460">
        <v>1308</v>
      </c>
      <c r="J460" s="2">
        <v>6540</v>
      </c>
      <c r="K460" t="s">
        <v>314</v>
      </c>
      <c r="L460" t="s">
        <v>316</v>
      </c>
    </row>
    <row r="461" spans="1:12" x14ac:dyDescent="0.25">
      <c r="A461" t="s">
        <v>278</v>
      </c>
      <c r="B461" t="s">
        <v>323</v>
      </c>
      <c r="C461" t="s">
        <v>342</v>
      </c>
      <c r="D461" t="s">
        <v>289</v>
      </c>
      <c r="E461" t="s">
        <v>294</v>
      </c>
      <c r="F461" t="s">
        <v>302</v>
      </c>
      <c r="G461" t="s">
        <v>310</v>
      </c>
      <c r="H461">
        <v>1</v>
      </c>
      <c r="I461">
        <v>127</v>
      </c>
      <c r="J461" s="2">
        <v>127</v>
      </c>
      <c r="K461" t="s">
        <v>311</v>
      </c>
      <c r="L461" t="s">
        <v>316</v>
      </c>
    </row>
    <row r="462" spans="1:12" x14ac:dyDescent="0.25">
      <c r="A462" t="s">
        <v>130</v>
      </c>
      <c r="B462" t="s">
        <v>325</v>
      </c>
      <c r="C462" t="s">
        <v>344</v>
      </c>
      <c r="D462" t="s">
        <v>290</v>
      </c>
      <c r="E462" t="s">
        <v>293</v>
      </c>
      <c r="F462" t="s">
        <v>305</v>
      </c>
      <c r="G462" t="s">
        <v>310</v>
      </c>
      <c r="H462">
        <v>1</v>
      </c>
      <c r="I462">
        <v>1333</v>
      </c>
      <c r="J462" s="2">
        <v>1333</v>
      </c>
      <c r="K462" t="s">
        <v>311</v>
      </c>
      <c r="L462" t="s">
        <v>315</v>
      </c>
    </row>
    <row r="463" spans="1:12" x14ac:dyDescent="0.25">
      <c r="A463" t="s">
        <v>225</v>
      </c>
      <c r="B463" t="s">
        <v>318</v>
      </c>
      <c r="C463" t="s">
        <v>337</v>
      </c>
      <c r="D463" t="s">
        <v>291</v>
      </c>
      <c r="E463" t="s">
        <v>298</v>
      </c>
      <c r="F463" t="s">
        <v>305</v>
      </c>
      <c r="G463" t="s">
        <v>310</v>
      </c>
      <c r="H463">
        <v>4</v>
      </c>
      <c r="I463">
        <v>835</v>
      </c>
      <c r="J463" s="2">
        <v>3340</v>
      </c>
      <c r="K463" t="s">
        <v>312</v>
      </c>
      <c r="L463" t="s">
        <v>315</v>
      </c>
    </row>
    <row r="464" spans="1:12" x14ac:dyDescent="0.25">
      <c r="A464" t="s">
        <v>91</v>
      </c>
      <c r="B464" t="s">
        <v>321</v>
      </c>
      <c r="C464" t="s">
        <v>340</v>
      </c>
      <c r="D464" t="s">
        <v>291</v>
      </c>
      <c r="E464" t="s">
        <v>292</v>
      </c>
      <c r="F464" t="s">
        <v>301</v>
      </c>
      <c r="G464" t="s">
        <v>309</v>
      </c>
      <c r="H464">
        <v>15</v>
      </c>
      <c r="I464">
        <v>1115</v>
      </c>
      <c r="J464" s="2">
        <v>16725</v>
      </c>
      <c r="K464" t="s">
        <v>312</v>
      </c>
      <c r="L464" t="s">
        <v>316</v>
      </c>
    </row>
    <row r="465" spans="1:12" x14ac:dyDescent="0.25">
      <c r="A465" t="s">
        <v>96</v>
      </c>
      <c r="B465" t="s">
        <v>318</v>
      </c>
      <c r="C465" t="s">
        <v>337</v>
      </c>
      <c r="D465" t="s">
        <v>291</v>
      </c>
      <c r="E465" t="s">
        <v>299</v>
      </c>
      <c r="F465" t="s">
        <v>307</v>
      </c>
      <c r="G465" t="s">
        <v>309</v>
      </c>
      <c r="H465">
        <v>12</v>
      </c>
      <c r="I465">
        <v>435</v>
      </c>
      <c r="J465" s="2">
        <v>5220</v>
      </c>
      <c r="K465" t="s">
        <v>311</v>
      </c>
      <c r="L465" t="s">
        <v>316</v>
      </c>
    </row>
    <row r="466" spans="1:12" x14ac:dyDescent="0.25">
      <c r="A466" t="s">
        <v>144</v>
      </c>
      <c r="B466" t="s">
        <v>325</v>
      </c>
      <c r="C466" t="s">
        <v>344</v>
      </c>
      <c r="D466" t="s">
        <v>290</v>
      </c>
      <c r="E466" t="s">
        <v>298</v>
      </c>
      <c r="F466" t="s">
        <v>306</v>
      </c>
      <c r="G466" t="s">
        <v>309</v>
      </c>
      <c r="H466">
        <v>7</v>
      </c>
      <c r="I466">
        <v>94</v>
      </c>
      <c r="J466" s="2">
        <v>658</v>
      </c>
      <c r="K466" t="s">
        <v>311</v>
      </c>
      <c r="L466" t="s">
        <v>315</v>
      </c>
    </row>
    <row r="467" spans="1:12" x14ac:dyDescent="0.25">
      <c r="A467" t="s">
        <v>182</v>
      </c>
      <c r="B467" t="s">
        <v>323</v>
      </c>
      <c r="C467" t="s">
        <v>342</v>
      </c>
      <c r="D467" t="s">
        <v>289</v>
      </c>
      <c r="E467" t="s">
        <v>292</v>
      </c>
      <c r="F467" t="s">
        <v>301</v>
      </c>
      <c r="G467" t="s">
        <v>309</v>
      </c>
      <c r="H467">
        <v>18</v>
      </c>
      <c r="I467">
        <v>1326</v>
      </c>
      <c r="J467" s="2">
        <v>23868</v>
      </c>
      <c r="K467" t="s">
        <v>313</v>
      </c>
      <c r="L467" t="s">
        <v>315</v>
      </c>
    </row>
    <row r="468" spans="1:12" x14ac:dyDescent="0.25">
      <c r="A468" t="s">
        <v>273</v>
      </c>
      <c r="B468" t="s">
        <v>318</v>
      </c>
      <c r="C468" t="s">
        <v>337</v>
      </c>
      <c r="D468" t="s">
        <v>288</v>
      </c>
      <c r="E468" t="s">
        <v>293</v>
      </c>
      <c r="F468" t="s">
        <v>300</v>
      </c>
      <c r="G468" t="s">
        <v>308</v>
      </c>
      <c r="H468">
        <v>4</v>
      </c>
      <c r="I468">
        <v>903</v>
      </c>
      <c r="J468" s="2">
        <v>3612</v>
      </c>
      <c r="K468" t="s">
        <v>314</v>
      </c>
      <c r="L468" t="s">
        <v>316</v>
      </c>
    </row>
    <row r="469" spans="1:12" x14ac:dyDescent="0.25">
      <c r="A469" t="s">
        <v>98</v>
      </c>
      <c r="B469" t="s">
        <v>320</v>
      </c>
      <c r="C469" t="s">
        <v>339</v>
      </c>
      <c r="D469" t="s">
        <v>289</v>
      </c>
      <c r="E469" t="s">
        <v>298</v>
      </c>
      <c r="F469" t="s">
        <v>303</v>
      </c>
      <c r="G469" t="s">
        <v>309</v>
      </c>
      <c r="H469">
        <v>7</v>
      </c>
      <c r="I469">
        <v>1473</v>
      </c>
      <c r="J469" s="2">
        <v>10311</v>
      </c>
      <c r="K469" t="s">
        <v>313</v>
      </c>
      <c r="L469" t="s">
        <v>316</v>
      </c>
    </row>
    <row r="470" spans="1:12" x14ac:dyDescent="0.25">
      <c r="A470" t="s">
        <v>275</v>
      </c>
      <c r="B470" t="s">
        <v>322</v>
      </c>
      <c r="C470" t="s">
        <v>341</v>
      </c>
      <c r="D470" t="s">
        <v>291</v>
      </c>
      <c r="E470" t="s">
        <v>298</v>
      </c>
      <c r="F470" t="s">
        <v>300</v>
      </c>
      <c r="G470" t="s">
        <v>308</v>
      </c>
      <c r="H470">
        <v>14</v>
      </c>
      <c r="I470">
        <v>264</v>
      </c>
      <c r="J470" s="2">
        <v>3696</v>
      </c>
      <c r="K470" t="s">
        <v>313</v>
      </c>
      <c r="L470" t="s">
        <v>316</v>
      </c>
    </row>
    <row r="471" spans="1:12" x14ac:dyDescent="0.25">
      <c r="A471" t="s">
        <v>172</v>
      </c>
      <c r="B471" t="s">
        <v>321</v>
      </c>
      <c r="C471" t="s">
        <v>340</v>
      </c>
      <c r="D471" t="s">
        <v>289</v>
      </c>
      <c r="E471" t="s">
        <v>297</v>
      </c>
      <c r="F471" t="s">
        <v>300</v>
      </c>
      <c r="G471" t="s">
        <v>308</v>
      </c>
      <c r="H471">
        <v>20</v>
      </c>
      <c r="I471">
        <v>459</v>
      </c>
      <c r="J471" s="2">
        <v>9180</v>
      </c>
      <c r="K471" t="s">
        <v>312</v>
      </c>
      <c r="L471" t="s">
        <v>315</v>
      </c>
    </row>
    <row r="472" spans="1:12" x14ac:dyDescent="0.25">
      <c r="A472" t="s">
        <v>279</v>
      </c>
      <c r="B472" t="s">
        <v>323</v>
      </c>
      <c r="C472" t="s">
        <v>342</v>
      </c>
      <c r="D472" t="s">
        <v>291</v>
      </c>
      <c r="E472" t="s">
        <v>298</v>
      </c>
      <c r="F472" t="s">
        <v>302</v>
      </c>
      <c r="G472" t="s">
        <v>310</v>
      </c>
      <c r="H472">
        <v>2</v>
      </c>
      <c r="I472">
        <v>1172</v>
      </c>
      <c r="J472" s="2">
        <v>2344</v>
      </c>
      <c r="K472" t="s">
        <v>314</v>
      </c>
      <c r="L472" t="s">
        <v>315</v>
      </c>
    </row>
    <row r="473" spans="1:12" x14ac:dyDescent="0.25">
      <c r="A473" t="s">
        <v>280</v>
      </c>
      <c r="B473" t="s">
        <v>318</v>
      </c>
      <c r="C473" t="s">
        <v>337</v>
      </c>
      <c r="D473" t="s">
        <v>291</v>
      </c>
      <c r="E473" t="s">
        <v>297</v>
      </c>
      <c r="F473" t="s">
        <v>304</v>
      </c>
      <c r="G473" t="s">
        <v>310</v>
      </c>
      <c r="H473">
        <v>1</v>
      </c>
      <c r="I473">
        <v>76</v>
      </c>
      <c r="J473" s="2">
        <v>76</v>
      </c>
      <c r="K473" t="s">
        <v>313</v>
      </c>
      <c r="L473" t="s">
        <v>315</v>
      </c>
    </row>
    <row r="474" spans="1:12" x14ac:dyDescent="0.25">
      <c r="A474" t="s">
        <v>171</v>
      </c>
      <c r="B474" t="s">
        <v>324</v>
      </c>
      <c r="C474" t="s">
        <v>343</v>
      </c>
      <c r="D474" t="s">
        <v>290</v>
      </c>
      <c r="E474" t="s">
        <v>296</v>
      </c>
      <c r="F474" t="s">
        <v>304</v>
      </c>
      <c r="G474" t="s">
        <v>310</v>
      </c>
      <c r="H474">
        <v>17</v>
      </c>
      <c r="I474">
        <v>203</v>
      </c>
      <c r="J474" s="2">
        <v>3451</v>
      </c>
      <c r="K474" t="s">
        <v>313</v>
      </c>
      <c r="L474" t="s">
        <v>316</v>
      </c>
    </row>
    <row r="475" spans="1:12" x14ac:dyDescent="0.25">
      <c r="A475" t="s">
        <v>165</v>
      </c>
      <c r="B475" t="s">
        <v>317</v>
      </c>
      <c r="C475" t="s">
        <v>336</v>
      </c>
      <c r="D475" t="s">
        <v>289</v>
      </c>
      <c r="E475" t="s">
        <v>292</v>
      </c>
      <c r="F475" t="s">
        <v>306</v>
      </c>
      <c r="G475" t="s">
        <v>309</v>
      </c>
      <c r="H475">
        <v>9</v>
      </c>
      <c r="I475">
        <v>1000</v>
      </c>
      <c r="J475" s="2">
        <v>9000</v>
      </c>
      <c r="K475" t="s">
        <v>313</v>
      </c>
      <c r="L475" t="s">
        <v>315</v>
      </c>
    </row>
    <row r="476" spans="1:12" x14ac:dyDescent="0.25">
      <c r="A476" t="s">
        <v>121</v>
      </c>
      <c r="B476" t="s">
        <v>320</v>
      </c>
      <c r="C476" t="s">
        <v>339</v>
      </c>
      <c r="D476" t="s">
        <v>291</v>
      </c>
      <c r="E476" t="s">
        <v>295</v>
      </c>
      <c r="F476" t="s">
        <v>301</v>
      </c>
      <c r="G476" t="s">
        <v>309</v>
      </c>
      <c r="H476">
        <v>11</v>
      </c>
      <c r="I476">
        <v>922</v>
      </c>
      <c r="J476" s="2">
        <v>10142</v>
      </c>
      <c r="K476" t="s">
        <v>313</v>
      </c>
      <c r="L476" t="s">
        <v>315</v>
      </c>
    </row>
    <row r="477" spans="1:12" x14ac:dyDescent="0.25">
      <c r="A477" t="s">
        <v>115</v>
      </c>
      <c r="B477" t="s">
        <v>325</v>
      </c>
      <c r="C477" t="s">
        <v>344</v>
      </c>
      <c r="D477" t="s">
        <v>290</v>
      </c>
      <c r="E477" t="s">
        <v>298</v>
      </c>
      <c r="F477" t="s">
        <v>301</v>
      </c>
      <c r="G477" t="s">
        <v>309</v>
      </c>
      <c r="H477">
        <v>11</v>
      </c>
      <c r="I477">
        <v>782</v>
      </c>
      <c r="J477" s="2">
        <v>8602</v>
      </c>
      <c r="K477" t="s">
        <v>314</v>
      </c>
      <c r="L477" t="s">
        <v>316</v>
      </c>
    </row>
    <row r="478" spans="1:12" x14ac:dyDescent="0.25">
      <c r="A478" t="s">
        <v>14</v>
      </c>
      <c r="B478" t="s">
        <v>321</v>
      </c>
      <c r="C478" t="s">
        <v>340</v>
      </c>
      <c r="D478" t="s">
        <v>291</v>
      </c>
      <c r="E478" t="s">
        <v>298</v>
      </c>
      <c r="F478" t="s">
        <v>305</v>
      </c>
      <c r="G478" t="s">
        <v>310</v>
      </c>
      <c r="H478">
        <v>4</v>
      </c>
      <c r="I478">
        <v>870</v>
      </c>
      <c r="J478" s="2">
        <v>3480</v>
      </c>
      <c r="K478" t="s">
        <v>314</v>
      </c>
      <c r="L478" t="s">
        <v>316</v>
      </c>
    </row>
    <row r="479" spans="1:12" x14ac:dyDescent="0.25">
      <c r="A479" t="s">
        <v>281</v>
      </c>
      <c r="B479" t="s">
        <v>326</v>
      </c>
      <c r="C479" t="s">
        <v>326</v>
      </c>
      <c r="D479" t="s">
        <v>289</v>
      </c>
      <c r="E479" t="s">
        <v>294</v>
      </c>
      <c r="F479" t="s">
        <v>302</v>
      </c>
      <c r="G479" t="s">
        <v>310</v>
      </c>
      <c r="H479">
        <v>6</v>
      </c>
      <c r="I479">
        <v>281</v>
      </c>
      <c r="J479" s="2">
        <v>1686</v>
      </c>
      <c r="K479" t="s">
        <v>311</v>
      </c>
      <c r="L479" t="s">
        <v>315</v>
      </c>
    </row>
    <row r="480" spans="1:12" x14ac:dyDescent="0.25">
      <c r="A480" t="s">
        <v>13</v>
      </c>
      <c r="B480" t="s">
        <v>320</v>
      </c>
      <c r="C480" t="s">
        <v>339</v>
      </c>
      <c r="D480" t="s">
        <v>289</v>
      </c>
      <c r="E480" t="s">
        <v>299</v>
      </c>
      <c r="F480" t="s">
        <v>300</v>
      </c>
      <c r="G480" t="s">
        <v>308</v>
      </c>
      <c r="H480">
        <v>19</v>
      </c>
      <c r="I480">
        <v>1439</v>
      </c>
      <c r="J480" s="2">
        <v>27341</v>
      </c>
      <c r="K480" t="s">
        <v>314</v>
      </c>
      <c r="L480" t="s">
        <v>315</v>
      </c>
    </row>
    <row r="481" spans="1:12" x14ac:dyDescent="0.25">
      <c r="A481" t="s">
        <v>192</v>
      </c>
      <c r="B481" t="s">
        <v>317</v>
      </c>
      <c r="C481" t="s">
        <v>336</v>
      </c>
      <c r="D481" t="s">
        <v>291</v>
      </c>
      <c r="E481" t="s">
        <v>293</v>
      </c>
      <c r="F481" t="s">
        <v>302</v>
      </c>
      <c r="G481" t="s">
        <v>310</v>
      </c>
      <c r="H481">
        <v>5</v>
      </c>
      <c r="I481">
        <v>1039</v>
      </c>
      <c r="J481" s="2">
        <v>5195</v>
      </c>
      <c r="K481" t="s">
        <v>314</v>
      </c>
      <c r="L481" t="s">
        <v>315</v>
      </c>
    </row>
    <row r="482" spans="1:12" x14ac:dyDescent="0.25">
      <c r="A482" t="s">
        <v>282</v>
      </c>
      <c r="B482" t="s">
        <v>323</v>
      </c>
      <c r="C482" t="s">
        <v>342</v>
      </c>
      <c r="D482" t="s">
        <v>288</v>
      </c>
      <c r="E482" t="s">
        <v>296</v>
      </c>
      <c r="F482" t="s">
        <v>304</v>
      </c>
      <c r="G482" t="s">
        <v>310</v>
      </c>
      <c r="H482">
        <v>9</v>
      </c>
      <c r="I482">
        <v>1391</v>
      </c>
      <c r="J482" s="2">
        <v>12519</v>
      </c>
      <c r="K482" t="s">
        <v>312</v>
      </c>
      <c r="L482" t="s">
        <v>315</v>
      </c>
    </row>
    <row r="483" spans="1:12" x14ac:dyDescent="0.25">
      <c r="A483" t="s">
        <v>16</v>
      </c>
      <c r="B483" t="s">
        <v>318</v>
      </c>
      <c r="C483" t="s">
        <v>337</v>
      </c>
      <c r="D483" t="s">
        <v>291</v>
      </c>
      <c r="E483" t="s">
        <v>296</v>
      </c>
      <c r="F483" t="s">
        <v>306</v>
      </c>
      <c r="G483" t="s">
        <v>309</v>
      </c>
      <c r="H483">
        <v>14</v>
      </c>
      <c r="I483">
        <v>1405</v>
      </c>
      <c r="J483" s="2">
        <v>19670</v>
      </c>
      <c r="K483" t="s">
        <v>311</v>
      </c>
      <c r="L483" t="s">
        <v>316</v>
      </c>
    </row>
    <row r="484" spans="1:12" x14ac:dyDescent="0.25">
      <c r="A484" t="s">
        <v>283</v>
      </c>
      <c r="B484" t="s">
        <v>328</v>
      </c>
      <c r="C484" t="s">
        <v>346</v>
      </c>
      <c r="D484" t="s">
        <v>290</v>
      </c>
      <c r="E484" t="s">
        <v>293</v>
      </c>
      <c r="F484" t="s">
        <v>302</v>
      </c>
      <c r="G484" t="s">
        <v>310</v>
      </c>
      <c r="H484">
        <v>1</v>
      </c>
      <c r="I484">
        <v>1367</v>
      </c>
      <c r="J484" s="2">
        <v>1367</v>
      </c>
      <c r="K484" t="s">
        <v>311</v>
      </c>
      <c r="L484" t="s">
        <v>316</v>
      </c>
    </row>
    <row r="485" spans="1:12" x14ac:dyDescent="0.25">
      <c r="A485" t="s">
        <v>245</v>
      </c>
      <c r="B485" t="s">
        <v>319</v>
      </c>
      <c r="C485" t="s">
        <v>338</v>
      </c>
      <c r="D485" t="s">
        <v>288</v>
      </c>
      <c r="E485" t="s">
        <v>299</v>
      </c>
      <c r="F485" t="s">
        <v>307</v>
      </c>
      <c r="G485" t="s">
        <v>309</v>
      </c>
      <c r="H485">
        <v>11</v>
      </c>
      <c r="I485">
        <v>543</v>
      </c>
      <c r="J485" s="2">
        <v>5973</v>
      </c>
      <c r="K485" t="s">
        <v>312</v>
      </c>
      <c r="L485" t="s">
        <v>316</v>
      </c>
    </row>
    <row r="486" spans="1:12" x14ac:dyDescent="0.25">
      <c r="A486" t="s">
        <v>284</v>
      </c>
      <c r="B486" t="s">
        <v>325</v>
      </c>
      <c r="C486" t="s">
        <v>344</v>
      </c>
      <c r="D486" t="s">
        <v>289</v>
      </c>
      <c r="E486" t="s">
        <v>294</v>
      </c>
      <c r="F486" t="s">
        <v>306</v>
      </c>
      <c r="G486" t="s">
        <v>309</v>
      </c>
      <c r="H486">
        <v>8</v>
      </c>
      <c r="I486">
        <v>211</v>
      </c>
      <c r="J486" s="2">
        <v>1688</v>
      </c>
      <c r="K486" t="s">
        <v>314</v>
      </c>
      <c r="L486" t="s">
        <v>316</v>
      </c>
    </row>
    <row r="487" spans="1:12" x14ac:dyDescent="0.25">
      <c r="A487" t="s">
        <v>171</v>
      </c>
      <c r="B487" t="s">
        <v>324</v>
      </c>
      <c r="C487" t="s">
        <v>343</v>
      </c>
      <c r="D487" t="s">
        <v>288</v>
      </c>
      <c r="E487" t="s">
        <v>299</v>
      </c>
      <c r="F487" t="s">
        <v>304</v>
      </c>
      <c r="G487" t="s">
        <v>310</v>
      </c>
      <c r="H487">
        <v>15</v>
      </c>
      <c r="I487">
        <v>697</v>
      </c>
      <c r="J487" s="2">
        <v>10455</v>
      </c>
      <c r="K487" t="s">
        <v>313</v>
      </c>
      <c r="L487" t="s">
        <v>316</v>
      </c>
    </row>
    <row r="488" spans="1:12" x14ac:dyDescent="0.25">
      <c r="A488" t="s">
        <v>195</v>
      </c>
      <c r="B488" t="s">
        <v>317</v>
      </c>
      <c r="C488" t="s">
        <v>336</v>
      </c>
      <c r="D488" t="s">
        <v>288</v>
      </c>
      <c r="E488" t="s">
        <v>294</v>
      </c>
      <c r="F488" t="s">
        <v>301</v>
      </c>
      <c r="G488" t="s">
        <v>309</v>
      </c>
      <c r="H488">
        <v>14</v>
      </c>
      <c r="I488">
        <v>123</v>
      </c>
      <c r="J488" s="2">
        <v>1722</v>
      </c>
      <c r="K488" t="s">
        <v>313</v>
      </c>
      <c r="L488" t="s">
        <v>315</v>
      </c>
    </row>
    <row r="489" spans="1:12" x14ac:dyDescent="0.25">
      <c r="A489" t="s">
        <v>152</v>
      </c>
      <c r="B489" t="s">
        <v>317</v>
      </c>
      <c r="C489" t="s">
        <v>336</v>
      </c>
      <c r="D489" t="s">
        <v>290</v>
      </c>
      <c r="E489" t="s">
        <v>299</v>
      </c>
      <c r="F489" t="s">
        <v>303</v>
      </c>
      <c r="G489" t="s">
        <v>309</v>
      </c>
      <c r="H489">
        <v>11</v>
      </c>
      <c r="I489">
        <v>794</v>
      </c>
      <c r="J489" s="2">
        <v>8734</v>
      </c>
      <c r="K489" t="s">
        <v>313</v>
      </c>
      <c r="L489" t="s">
        <v>315</v>
      </c>
    </row>
    <row r="490" spans="1:12" x14ac:dyDescent="0.25">
      <c r="A490" t="s">
        <v>39</v>
      </c>
      <c r="B490" t="s">
        <v>322</v>
      </c>
      <c r="C490" t="s">
        <v>341</v>
      </c>
      <c r="D490" t="s">
        <v>289</v>
      </c>
      <c r="E490" t="s">
        <v>295</v>
      </c>
      <c r="F490" t="s">
        <v>305</v>
      </c>
      <c r="G490" t="s">
        <v>310</v>
      </c>
      <c r="H490">
        <v>15</v>
      </c>
      <c r="I490">
        <v>283</v>
      </c>
      <c r="J490" s="2">
        <v>4245</v>
      </c>
      <c r="K490" t="s">
        <v>313</v>
      </c>
      <c r="L490" t="s">
        <v>315</v>
      </c>
    </row>
    <row r="491" spans="1:12" x14ac:dyDescent="0.25">
      <c r="A491" t="s">
        <v>285</v>
      </c>
      <c r="B491" t="s">
        <v>325</v>
      </c>
      <c r="C491" t="s">
        <v>344</v>
      </c>
      <c r="D491" t="s">
        <v>291</v>
      </c>
      <c r="E491" t="s">
        <v>292</v>
      </c>
      <c r="F491" t="s">
        <v>305</v>
      </c>
      <c r="G491" t="s">
        <v>310</v>
      </c>
      <c r="H491">
        <v>18</v>
      </c>
      <c r="I491">
        <v>1119</v>
      </c>
      <c r="J491" s="2">
        <v>20142</v>
      </c>
      <c r="K491" t="s">
        <v>312</v>
      </c>
      <c r="L491" t="s">
        <v>315</v>
      </c>
    </row>
    <row r="492" spans="1:12" x14ac:dyDescent="0.25">
      <c r="A492" t="s">
        <v>115</v>
      </c>
      <c r="B492" t="s">
        <v>325</v>
      </c>
      <c r="C492" t="s">
        <v>344</v>
      </c>
      <c r="D492" t="s">
        <v>289</v>
      </c>
      <c r="E492" t="s">
        <v>298</v>
      </c>
      <c r="F492" t="s">
        <v>307</v>
      </c>
      <c r="G492" t="s">
        <v>309</v>
      </c>
      <c r="H492">
        <v>14</v>
      </c>
      <c r="I492">
        <v>269</v>
      </c>
      <c r="J492" s="2">
        <v>3766</v>
      </c>
      <c r="K492" t="s">
        <v>312</v>
      </c>
      <c r="L492" t="s">
        <v>315</v>
      </c>
    </row>
    <row r="493" spans="1:12" x14ac:dyDescent="0.25">
      <c r="A493" t="s">
        <v>286</v>
      </c>
      <c r="B493" t="s">
        <v>327</v>
      </c>
      <c r="C493" t="s">
        <v>345</v>
      </c>
      <c r="D493" t="s">
        <v>289</v>
      </c>
      <c r="E493" t="s">
        <v>297</v>
      </c>
      <c r="F493" t="s">
        <v>300</v>
      </c>
      <c r="G493" t="s">
        <v>308</v>
      </c>
      <c r="H493">
        <v>15</v>
      </c>
      <c r="I493">
        <v>440</v>
      </c>
      <c r="J493" s="2">
        <v>6600</v>
      </c>
      <c r="K493" t="s">
        <v>312</v>
      </c>
      <c r="L493" t="s">
        <v>315</v>
      </c>
    </row>
    <row r="494" spans="1:12" x14ac:dyDescent="0.25">
      <c r="A494" t="s">
        <v>63</v>
      </c>
      <c r="B494" t="s">
        <v>323</v>
      </c>
      <c r="C494" t="s">
        <v>342</v>
      </c>
      <c r="D494" t="s">
        <v>288</v>
      </c>
      <c r="E494" t="s">
        <v>299</v>
      </c>
      <c r="F494" t="s">
        <v>301</v>
      </c>
      <c r="G494" t="s">
        <v>309</v>
      </c>
      <c r="H494">
        <v>15</v>
      </c>
      <c r="I494">
        <v>1398</v>
      </c>
      <c r="J494" s="2">
        <v>20970</v>
      </c>
      <c r="K494" t="s">
        <v>311</v>
      </c>
      <c r="L494" t="s">
        <v>316</v>
      </c>
    </row>
    <row r="495" spans="1:12" x14ac:dyDescent="0.25">
      <c r="A495" t="s">
        <v>220</v>
      </c>
      <c r="B495" t="s">
        <v>325</v>
      </c>
      <c r="C495" t="s">
        <v>344</v>
      </c>
      <c r="D495" t="s">
        <v>289</v>
      </c>
      <c r="E495" t="s">
        <v>299</v>
      </c>
      <c r="F495" t="s">
        <v>301</v>
      </c>
      <c r="G495" t="s">
        <v>309</v>
      </c>
      <c r="H495">
        <v>17</v>
      </c>
      <c r="I495">
        <v>412</v>
      </c>
      <c r="J495" s="2">
        <v>7004</v>
      </c>
      <c r="K495" t="s">
        <v>311</v>
      </c>
      <c r="L495" t="s">
        <v>315</v>
      </c>
    </row>
    <row r="496" spans="1:12" x14ac:dyDescent="0.25">
      <c r="A496" t="s">
        <v>251</v>
      </c>
      <c r="B496" t="s">
        <v>321</v>
      </c>
      <c r="C496" t="s">
        <v>340</v>
      </c>
      <c r="D496" t="s">
        <v>291</v>
      </c>
      <c r="E496" t="s">
        <v>294</v>
      </c>
      <c r="F496" t="s">
        <v>302</v>
      </c>
      <c r="G496" t="s">
        <v>310</v>
      </c>
      <c r="H496">
        <v>14</v>
      </c>
      <c r="I496">
        <v>1297</v>
      </c>
      <c r="J496" s="2">
        <v>18158</v>
      </c>
      <c r="K496" t="s">
        <v>311</v>
      </c>
      <c r="L496" t="s">
        <v>316</v>
      </c>
    </row>
    <row r="497" spans="1:12" x14ac:dyDescent="0.25">
      <c r="A497" t="s">
        <v>176</v>
      </c>
      <c r="B497" t="s">
        <v>323</v>
      </c>
      <c r="C497" t="s">
        <v>342</v>
      </c>
      <c r="D497" t="s">
        <v>291</v>
      </c>
      <c r="E497" t="s">
        <v>299</v>
      </c>
      <c r="F497" t="s">
        <v>305</v>
      </c>
      <c r="G497" t="s">
        <v>310</v>
      </c>
      <c r="H497">
        <v>5</v>
      </c>
      <c r="I497">
        <v>332</v>
      </c>
      <c r="J497" s="2">
        <v>1660</v>
      </c>
      <c r="K497" t="s">
        <v>314</v>
      </c>
      <c r="L497" t="s">
        <v>316</v>
      </c>
    </row>
    <row r="498" spans="1:12" x14ac:dyDescent="0.25">
      <c r="A498" t="s">
        <v>239</v>
      </c>
      <c r="B498" t="s">
        <v>318</v>
      </c>
      <c r="C498" t="s">
        <v>337</v>
      </c>
      <c r="D498" t="s">
        <v>290</v>
      </c>
      <c r="E498" t="s">
        <v>297</v>
      </c>
      <c r="F498" t="s">
        <v>305</v>
      </c>
      <c r="G498" t="s">
        <v>310</v>
      </c>
      <c r="H498">
        <v>7</v>
      </c>
      <c r="I498">
        <v>1328</v>
      </c>
      <c r="J498" s="2">
        <v>9296</v>
      </c>
      <c r="K498" t="s">
        <v>312</v>
      </c>
      <c r="L498" t="s">
        <v>316</v>
      </c>
    </row>
    <row r="499" spans="1:12" x14ac:dyDescent="0.25">
      <c r="A499" t="s">
        <v>199</v>
      </c>
      <c r="B499" t="s">
        <v>318</v>
      </c>
      <c r="C499" t="s">
        <v>337</v>
      </c>
      <c r="D499" t="s">
        <v>290</v>
      </c>
      <c r="E499" t="s">
        <v>295</v>
      </c>
      <c r="F499" t="s">
        <v>307</v>
      </c>
      <c r="G499" t="s">
        <v>309</v>
      </c>
      <c r="H499">
        <v>4</v>
      </c>
      <c r="I499">
        <v>771</v>
      </c>
      <c r="J499" s="2">
        <v>3084</v>
      </c>
      <c r="K499" t="s">
        <v>314</v>
      </c>
      <c r="L499" t="s">
        <v>316</v>
      </c>
    </row>
    <row r="500" spans="1:12" x14ac:dyDescent="0.25">
      <c r="A500" t="s">
        <v>287</v>
      </c>
      <c r="B500" t="s">
        <v>318</v>
      </c>
      <c r="C500" t="s">
        <v>337</v>
      </c>
      <c r="D500" t="s">
        <v>289</v>
      </c>
      <c r="E500" t="s">
        <v>293</v>
      </c>
      <c r="F500" t="s">
        <v>303</v>
      </c>
      <c r="G500" t="s">
        <v>309</v>
      </c>
      <c r="H500">
        <v>17</v>
      </c>
      <c r="I500">
        <v>268</v>
      </c>
      <c r="J500" s="2">
        <v>4556</v>
      </c>
      <c r="K500" t="s">
        <v>313</v>
      </c>
      <c r="L500" t="s">
        <v>316</v>
      </c>
    </row>
    <row r="501" spans="1:12" x14ac:dyDescent="0.25">
      <c r="A501" t="s">
        <v>129</v>
      </c>
      <c r="B501" t="s">
        <v>320</v>
      </c>
      <c r="C501" t="s">
        <v>339</v>
      </c>
      <c r="D501" t="s">
        <v>288</v>
      </c>
      <c r="E501" t="s">
        <v>297</v>
      </c>
      <c r="F501" t="s">
        <v>301</v>
      </c>
      <c r="G501" t="s">
        <v>309</v>
      </c>
      <c r="H501">
        <v>9</v>
      </c>
      <c r="I501">
        <v>379</v>
      </c>
      <c r="J501" s="2">
        <v>3411</v>
      </c>
      <c r="K501" t="s">
        <v>312</v>
      </c>
      <c r="L501" t="s">
        <v>316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07F3-BDBB-42C5-9223-52DCB8378F51}">
  <dimension ref="B2:R24"/>
  <sheetViews>
    <sheetView workbookViewId="0">
      <selection activeCell="D32" sqref="D32"/>
    </sheetView>
  </sheetViews>
  <sheetFormatPr defaultRowHeight="15" x14ac:dyDescent="0.25"/>
  <cols>
    <col min="2" max="2" width="11.28515625" bestFit="1" customWidth="1"/>
    <col min="3" max="3" width="10.7109375" bestFit="1" customWidth="1"/>
    <col min="6" max="6" width="13.42578125" bestFit="1" customWidth="1"/>
    <col min="7" max="7" width="13.7109375" bestFit="1" customWidth="1"/>
    <col min="8" max="10" width="13.7109375" customWidth="1"/>
    <col min="12" max="12" width="11.28515625" bestFit="1" customWidth="1"/>
    <col min="13" max="13" width="21.7109375" bestFit="1" customWidth="1"/>
    <col min="15" max="15" width="16.7109375" bestFit="1" customWidth="1"/>
    <col min="16" max="16" width="10.7109375" bestFit="1" customWidth="1"/>
    <col min="17" max="17" width="13.7109375" customWidth="1"/>
  </cols>
  <sheetData>
    <row r="2" spans="2:18" x14ac:dyDescent="0.25">
      <c r="C2" t="s">
        <v>331</v>
      </c>
    </row>
    <row r="3" spans="2:18" x14ac:dyDescent="0.25">
      <c r="C3" s="5">
        <v>181064</v>
      </c>
    </row>
    <row r="4" spans="2:18" x14ac:dyDescent="0.25">
      <c r="F4" s="4" t="s">
        <v>335</v>
      </c>
      <c r="G4" t="s">
        <v>333</v>
      </c>
    </row>
    <row r="5" spans="2:18" x14ac:dyDescent="0.25">
      <c r="F5" t="s">
        <v>344</v>
      </c>
      <c r="G5" s="2">
        <v>181064</v>
      </c>
      <c r="H5" s="2" t="str">
        <f>F5</f>
        <v>Jan</v>
      </c>
      <c r="I5" s="2">
        <f>G5</f>
        <v>181064</v>
      </c>
      <c r="J5" s="2"/>
    </row>
    <row r="6" spans="2:18" x14ac:dyDescent="0.25">
      <c r="F6" t="s">
        <v>340</v>
      </c>
      <c r="G6" s="2">
        <v>53902</v>
      </c>
      <c r="H6" s="2" t="str">
        <f t="shared" ref="H6:H16" si="0">F6</f>
        <v>Feb</v>
      </c>
      <c r="I6" s="2">
        <f t="shared" ref="I6:I16" si="1">G6</f>
        <v>53902</v>
      </c>
      <c r="J6" s="2"/>
    </row>
    <row r="7" spans="2:18" x14ac:dyDescent="0.25">
      <c r="B7" s="4" t="s">
        <v>3</v>
      </c>
      <c r="C7" t="s">
        <v>332</v>
      </c>
      <c r="F7" t="s">
        <v>339</v>
      </c>
      <c r="G7" s="2">
        <v>77600</v>
      </c>
      <c r="H7" s="2" t="str">
        <f t="shared" si="0"/>
        <v>Mar</v>
      </c>
      <c r="I7" s="2">
        <f t="shared" si="1"/>
        <v>77600</v>
      </c>
      <c r="J7" s="2"/>
      <c r="L7" s="4" t="s">
        <v>4</v>
      </c>
      <c r="M7" t="s">
        <v>334</v>
      </c>
      <c r="O7" s="4" t="s">
        <v>9</v>
      </c>
      <c r="P7" t="s">
        <v>331</v>
      </c>
    </row>
    <row r="8" spans="2:18" x14ac:dyDescent="0.25">
      <c r="B8" t="s">
        <v>304</v>
      </c>
      <c r="C8" s="2">
        <v>8032</v>
      </c>
      <c r="F8" t="s">
        <v>345</v>
      </c>
      <c r="G8" s="2">
        <v>68013</v>
      </c>
      <c r="H8" s="2" t="str">
        <f t="shared" si="0"/>
        <v>Apr</v>
      </c>
      <c r="I8" s="2">
        <f t="shared" si="1"/>
        <v>68013</v>
      </c>
      <c r="J8" s="2"/>
      <c r="L8" t="s">
        <v>310</v>
      </c>
      <c r="M8" s="2">
        <v>114988</v>
      </c>
      <c r="O8" t="s">
        <v>315</v>
      </c>
      <c r="P8" s="2">
        <v>119205</v>
      </c>
    </row>
    <row r="9" spans="2:18" x14ac:dyDescent="0.25">
      <c r="B9" t="s">
        <v>305</v>
      </c>
      <c r="C9" s="2">
        <v>44036</v>
      </c>
      <c r="F9" t="s">
        <v>326</v>
      </c>
      <c r="G9" s="2">
        <v>108462</v>
      </c>
      <c r="H9" s="2" t="str">
        <f t="shared" si="0"/>
        <v>May</v>
      </c>
      <c r="I9" s="2">
        <f t="shared" si="1"/>
        <v>108462</v>
      </c>
      <c r="J9" s="2"/>
      <c r="L9" t="s">
        <v>309</v>
      </c>
      <c r="M9" s="2">
        <v>54809</v>
      </c>
      <c r="O9" t="s">
        <v>316</v>
      </c>
      <c r="P9" s="2">
        <v>61859</v>
      </c>
    </row>
    <row r="10" spans="2:18" x14ac:dyDescent="0.25">
      <c r="B10" t="s">
        <v>301</v>
      </c>
      <c r="C10" s="2">
        <v>23086</v>
      </c>
      <c r="F10" t="s">
        <v>346</v>
      </c>
      <c r="G10" s="2">
        <v>43416</v>
      </c>
      <c r="H10" s="2" t="str">
        <f t="shared" si="0"/>
        <v>Jun</v>
      </c>
      <c r="I10" s="2">
        <f t="shared" si="1"/>
        <v>43416</v>
      </c>
      <c r="J10" s="2"/>
      <c r="L10" t="s">
        <v>308</v>
      </c>
      <c r="M10" s="2">
        <v>11267</v>
      </c>
      <c r="O10" t="s">
        <v>330</v>
      </c>
      <c r="P10" s="2">
        <v>181064</v>
      </c>
    </row>
    <row r="11" spans="2:18" x14ac:dyDescent="0.25">
      <c r="B11" t="s">
        <v>303</v>
      </c>
      <c r="C11" s="2">
        <v>25143</v>
      </c>
      <c r="F11" t="s">
        <v>342</v>
      </c>
      <c r="G11" s="2">
        <v>51615</v>
      </c>
      <c r="H11" s="2" t="str">
        <f t="shared" si="0"/>
        <v>Jul</v>
      </c>
      <c r="I11" s="2">
        <f t="shared" si="1"/>
        <v>51615</v>
      </c>
      <c r="J11" s="2"/>
      <c r="L11" t="s">
        <v>330</v>
      </c>
      <c r="M11" s="2">
        <v>181064</v>
      </c>
    </row>
    <row r="12" spans="2:18" x14ac:dyDescent="0.25">
      <c r="B12" t="s">
        <v>302</v>
      </c>
      <c r="C12" s="2">
        <v>62920</v>
      </c>
      <c r="F12" t="s">
        <v>341</v>
      </c>
      <c r="G12" s="2">
        <v>142913</v>
      </c>
      <c r="H12" s="2" t="str">
        <f t="shared" si="0"/>
        <v>Aug</v>
      </c>
      <c r="I12" s="2">
        <f>G12</f>
        <v>142913</v>
      </c>
      <c r="J12" s="2"/>
    </row>
    <row r="13" spans="2:18" x14ac:dyDescent="0.25">
      <c r="B13" t="s">
        <v>307</v>
      </c>
      <c r="C13" s="2">
        <v>6580</v>
      </c>
      <c r="F13" t="s">
        <v>338</v>
      </c>
      <c r="G13" s="2">
        <v>60290</v>
      </c>
      <c r="H13" s="2" t="str">
        <f t="shared" si="0"/>
        <v>Sep</v>
      </c>
      <c r="I13" s="2">
        <f t="shared" si="1"/>
        <v>60290</v>
      </c>
      <c r="J13" s="2"/>
    </row>
    <row r="14" spans="2:18" x14ac:dyDescent="0.25">
      <c r="B14" t="s">
        <v>300</v>
      </c>
      <c r="C14" s="2">
        <v>11267</v>
      </c>
      <c r="F14" t="s">
        <v>343</v>
      </c>
      <c r="G14" s="2">
        <v>62938</v>
      </c>
      <c r="H14" s="2" t="str">
        <f t="shared" si="0"/>
        <v>Oct</v>
      </c>
      <c r="I14" s="2">
        <f t="shared" si="1"/>
        <v>62938</v>
      </c>
      <c r="J14" s="2"/>
    </row>
    <row r="15" spans="2:18" x14ac:dyDescent="0.25">
      <c r="B15" t="s">
        <v>330</v>
      </c>
      <c r="C15" s="2">
        <v>181064</v>
      </c>
      <c r="F15" t="s">
        <v>336</v>
      </c>
      <c r="G15" s="2">
        <v>43994</v>
      </c>
      <c r="H15" s="2" t="str">
        <f t="shared" si="0"/>
        <v>Nov</v>
      </c>
      <c r="I15" s="2">
        <f t="shared" si="1"/>
        <v>43994</v>
      </c>
      <c r="J15" s="2"/>
      <c r="L15" s="4" t="s">
        <v>8</v>
      </c>
      <c r="M15" t="s">
        <v>331</v>
      </c>
      <c r="O15" s="4" t="s">
        <v>2</v>
      </c>
      <c r="P15" t="s">
        <v>331</v>
      </c>
    </row>
    <row r="16" spans="2:18" x14ac:dyDescent="0.25">
      <c r="F16" t="s">
        <v>337</v>
      </c>
      <c r="G16" s="2">
        <v>87805</v>
      </c>
      <c r="H16" s="2" t="str">
        <f t="shared" si="0"/>
        <v>Dec</v>
      </c>
      <c r="I16" s="2">
        <f t="shared" si="1"/>
        <v>87805</v>
      </c>
      <c r="J16" s="2"/>
      <c r="L16" t="s">
        <v>312</v>
      </c>
      <c r="M16" s="2">
        <v>61228</v>
      </c>
      <c r="O16" t="s">
        <v>292</v>
      </c>
      <c r="P16" s="2">
        <v>20142</v>
      </c>
      <c r="Q16" t="str">
        <f>O16</f>
        <v>David Brown</v>
      </c>
      <c r="R16" s="2">
        <f>P16</f>
        <v>20142</v>
      </c>
    </row>
    <row r="17" spans="2:18" x14ac:dyDescent="0.25">
      <c r="F17" t="s">
        <v>330</v>
      </c>
      <c r="G17" s="2">
        <v>982012</v>
      </c>
      <c r="H17" s="2"/>
      <c r="I17" s="2"/>
      <c r="J17" s="2"/>
      <c r="L17" t="s">
        <v>313</v>
      </c>
      <c r="M17" s="2">
        <v>36716</v>
      </c>
      <c r="O17" t="s">
        <v>294</v>
      </c>
      <c r="P17" s="2">
        <v>27398</v>
      </c>
      <c r="Q17" t="str">
        <f t="shared" ref="Q17:Q23" si="2">O17</f>
        <v>James Green</v>
      </c>
      <c r="R17" s="2">
        <f t="shared" ref="R17:R23" si="3">P17</f>
        <v>27398</v>
      </c>
    </row>
    <row r="18" spans="2:18" x14ac:dyDescent="0.25">
      <c r="L18" t="s">
        <v>311</v>
      </c>
      <c r="M18" s="2">
        <v>22844</v>
      </c>
      <c r="O18" t="s">
        <v>296</v>
      </c>
      <c r="P18" s="2">
        <v>31143</v>
      </c>
      <c r="Q18" t="str">
        <f t="shared" si="2"/>
        <v>Jane Smith</v>
      </c>
      <c r="R18" s="2">
        <f t="shared" si="3"/>
        <v>31143</v>
      </c>
    </row>
    <row r="19" spans="2:18" x14ac:dyDescent="0.25">
      <c r="B19" s="4" t="s">
        <v>1</v>
      </c>
      <c r="C19" t="s">
        <v>332</v>
      </c>
      <c r="L19" t="s">
        <v>314</v>
      </c>
      <c r="M19" s="2">
        <v>60276</v>
      </c>
      <c r="O19" t="s">
        <v>293</v>
      </c>
      <c r="P19" s="2">
        <v>27635</v>
      </c>
      <c r="Q19" t="str">
        <f t="shared" si="2"/>
        <v>John Doe</v>
      </c>
      <c r="R19" s="2">
        <f t="shared" si="3"/>
        <v>27635</v>
      </c>
    </row>
    <row r="20" spans="2:18" x14ac:dyDescent="0.25">
      <c r="B20" t="s">
        <v>291</v>
      </c>
      <c r="C20" s="6">
        <v>181064</v>
      </c>
      <c r="L20" t="s">
        <v>330</v>
      </c>
      <c r="M20" s="2">
        <v>181064</v>
      </c>
      <c r="O20" t="s">
        <v>295</v>
      </c>
      <c r="P20" s="2">
        <v>2847</v>
      </c>
      <c r="Q20" t="str">
        <f t="shared" si="2"/>
        <v>Linda White</v>
      </c>
      <c r="R20" s="2">
        <f t="shared" si="3"/>
        <v>2847</v>
      </c>
    </row>
    <row r="21" spans="2:18" x14ac:dyDescent="0.25">
      <c r="B21" t="s">
        <v>288</v>
      </c>
      <c r="C21" s="6">
        <v>94942</v>
      </c>
      <c r="O21" t="s">
        <v>298</v>
      </c>
      <c r="P21" s="2">
        <v>32911</v>
      </c>
      <c r="Q21" t="str">
        <f t="shared" si="2"/>
        <v>Michael Lee</v>
      </c>
      <c r="R21" s="2">
        <f t="shared" si="3"/>
        <v>32911</v>
      </c>
    </row>
    <row r="22" spans="2:18" x14ac:dyDescent="0.25">
      <c r="B22" t="s">
        <v>290</v>
      </c>
      <c r="C22" s="6">
        <v>126548</v>
      </c>
      <c r="H22" s="9"/>
      <c r="O22" t="s">
        <v>297</v>
      </c>
      <c r="P22" s="2">
        <v>38988</v>
      </c>
      <c r="Q22" t="str">
        <f t="shared" si="2"/>
        <v>Sarah Johnson</v>
      </c>
      <c r="R22" s="2">
        <f t="shared" si="3"/>
        <v>38988</v>
      </c>
    </row>
    <row r="23" spans="2:18" x14ac:dyDescent="0.25">
      <c r="B23" t="s">
        <v>289</v>
      </c>
      <c r="C23" s="6">
        <v>71895</v>
      </c>
      <c r="H23" s="8"/>
      <c r="O23" t="s">
        <v>330</v>
      </c>
      <c r="P23" s="2">
        <v>181064</v>
      </c>
      <c r="Q23" t="str">
        <f t="shared" si="2"/>
        <v>Grand Total</v>
      </c>
      <c r="R23" s="2">
        <f t="shared" si="3"/>
        <v>181064</v>
      </c>
    </row>
    <row r="24" spans="2:18" x14ac:dyDescent="0.25">
      <c r="B24" t="s">
        <v>330</v>
      </c>
      <c r="C24" s="2">
        <v>474449</v>
      </c>
      <c r="R2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D954-A9EB-419F-AE7E-48B84C55F679}">
  <dimension ref="AL29:AR36"/>
  <sheetViews>
    <sheetView showGridLines="0" tabSelected="1" topLeftCell="E9" zoomScale="50" zoomScaleNormal="50" workbookViewId="0">
      <selection activeCell="AS49" sqref="AS49"/>
    </sheetView>
  </sheetViews>
  <sheetFormatPr defaultRowHeight="15" x14ac:dyDescent="0.25"/>
  <sheetData>
    <row r="29" spans="41:44" ht="26.25" x14ac:dyDescent="0.4">
      <c r="AO29" s="7"/>
      <c r="AP29" s="7"/>
      <c r="AQ29" s="7"/>
      <c r="AR29" s="7"/>
    </row>
    <row r="36" spans="38:38" x14ac:dyDescent="0.25">
      <c r="AL36" t="s">
        <v>347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faith chidinma</cp:lastModifiedBy>
  <dcterms:created xsi:type="dcterms:W3CDTF">2025-10-30T20:31:38Z</dcterms:created>
  <dcterms:modified xsi:type="dcterms:W3CDTF">2026-03-03T22:27:46Z</dcterms:modified>
</cp:coreProperties>
</file>